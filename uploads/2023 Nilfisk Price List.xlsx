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janvey/I. Janvey &amp; Sons Dropbox/Sam Janvey/BHJ/Nilfisk/2023 Price Lists/"/>
    </mc:Choice>
  </mc:AlternateContent>
  <xr:revisionPtr revIDLastSave="0" documentId="8_{F90DAEF0-5156-F14C-BAE1-C8CCB644BBDE}" xr6:coauthVersionLast="47" xr6:coauthVersionMax="47" xr10:uidLastSave="{00000000-0000-0000-0000-000000000000}"/>
  <bookViews>
    <workbookView xWindow="0" yWindow="500" windowWidth="27380" windowHeight="19560" xr2:uid="{00000000-000D-0000-FFFF-FFFF00000000}"/>
  </bookViews>
  <sheets>
    <sheet name="Advance Commerical Tier 2" sheetId="1" r:id="rId1"/>
  </sheets>
  <definedNames>
    <definedName name="_xlnm.Print_Area" localSheetId="0">'Advance Commerical Tier 2'!$A$1:$H$276</definedName>
    <definedName name="_xlnm.Print_Titles" localSheetId="0">'Advance Commerical Tier 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10" i="1" l="1"/>
  <c r="F210" i="1"/>
  <c r="H135" i="1" l="1"/>
  <c r="F135" i="1"/>
  <c r="H132" i="1"/>
  <c r="F132" i="1"/>
  <c r="H124" i="1"/>
  <c r="F124" i="1"/>
  <c r="F125" i="1"/>
  <c r="H125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186" i="1" l="1"/>
  <c r="F186" i="1"/>
  <c r="H97" i="1" l="1"/>
  <c r="F97" i="1"/>
  <c r="H96" i="1"/>
  <c r="F96" i="1"/>
  <c r="H95" i="1"/>
  <c r="F95" i="1"/>
  <c r="F45" i="1" l="1"/>
  <c r="H45" i="1"/>
  <c r="H26" i="1" l="1"/>
  <c r="F31" i="1" l="1"/>
  <c r="H31" i="1" l="1"/>
  <c r="H117" i="1" l="1"/>
  <c r="F117" i="1"/>
  <c r="H116" i="1"/>
  <c r="F116" i="1"/>
  <c r="H115" i="1"/>
  <c r="F115" i="1"/>
  <c r="H114" i="1"/>
  <c r="F114" i="1"/>
  <c r="H112" i="1"/>
  <c r="F112" i="1"/>
  <c r="F109" i="1"/>
  <c r="H109" i="1"/>
  <c r="F110" i="1"/>
  <c r="H110" i="1"/>
  <c r="F111" i="1"/>
  <c r="H111" i="1"/>
  <c r="F113" i="1"/>
  <c r="H113" i="1"/>
  <c r="F118" i="1"/>
  <c r="H118" i="1"/>
  <c r="F119" i="1"/>
  <c r="H119" i="1"/>
  <c r="F120" i="1"/>
  <c r="H120" i="1"/>
  <c r="F121" i="1"/>
  <c r="H121" i="1"/>
  <c r="F122" i="1"/>
  <c r="H122" i="1"/>
  <c r="F123" i="1"/>
  <c r="H123" i="1"/>
  <c r="F126" i="1"/>
  <c r="H126" i="1"/>
  <c r="F127" i="1"/>
  <c r="H127" i="1"/>
  <c r="F128" i="1"/>
  <c r="H128" i="1"/>
  <c r="F129" i="1"/>
  <c r="H129" i="1"/>
  <c r="F130" i="1"/>
  <c r="H130" i="1"/>
  <c r="F131" i="1"/>
  <c r="H131" i="1"/>
  <c r="F133" i="1"/>
  <c r="H133" i="1"/>
  <c r="F134" i="1"/>
  <c r="H134" i="1"/>
  <c r="F136" i="1"/>
  <c r="H136" i="1"/>
  <c r="F137" i="1"/>
  <c r="H137" i="1"/>
  <c r="F138" i="1"/>
  <c r="H138" i="1"/>
  <c r="F139" i="1"/>
  <c r="H139" i="1"/>
  <c r="H276" i="1" l="1"/>
  <c r="F276" i="1"/>
  <c r="H273" i="1"/>
  <c r="F273" i="1"/>
  <c r="H272" i="1"/>
  <c r="F272" i="1"/>
  <c r="H271" i="1"/>
  <c r="F271" i="1"/>
  <c r="H268" i="1"/>
  <c r="F268" i="1"/>
  <c r="H267" i="1"/>
  <c r="F267" i="1"/>
  <c r="H264" i="1"/>
  <c r="F264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5" i="1"/>
  <c r="F225" i="1"/>
  <c r="H224" i="1"/>
  <c r="F224" i="1"/>
  <c r="H223" i="1"/>
  <c r="F223" i="1"/>
  <c r="H222" i="1"/>
  <c r="F222" i="1"/>
  <c r="F219" i="1"/>
  <c r="H219" i="1"/>
  <c r="H218" i="1"/>
  <c r="F218" i="1"/>
  <c r="H217" i="1"/>
  <c r="F217" i="1"/>
  <c r="H214" i="1"/>
  <c r="F214" i="1"/>
  <c r="H213" i="1"/>
  <c r="F213" i="1"/>
  <c r="H209" i="1"/>
  <c r="F209" i="1"/>
  <c r="H208" i="1"/>
  <c r="F208" i="1"/>
  <c r="H205" i="1"/>
  <c r="F205" i="1"/>
  <c r="H204" i="1"/>
  <c r="F204" i="1"/>
  <c r="H203" i="1"/>
  <c r="F203" i="1"/>
  <c r="H202" i="1"/>
  <c r="F202" i="1"/>
  <c r="F197" i="1"/>
  <c r="H197" i="1"/>
  <c r="F198" i="1"/>
  <c r="H198" i="1"/>
  <c r="F199" i="1"/>
  <c r="H199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F176" i="1"/>
  <c r="H176" i="1"/>
  <c r="F174" i="1"/>
  <c r="H174" i="1"/>
  <c r="F175" i="1"/>
  <c r="H175" i="1"/>
  <c r="H173" i="1"/>
  <c r="F173" i="1"/>
  <c r="H172" i="1"/>
  <c r="F172" i="1"/>
  <c r="H171" i="1"/>
  <c r="F171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2" i="1"/>
  <c r="F92" i="1"/>
  <c r="H91" i="1"/>
  <c r="F91" i="1"/>
  <c r="H90" i="1"/>
  <c r="F90" i="1"/>
  <c r="H89" i="1"/>
  <c r="F89" i="1"/>
  <c r="H86" i="1"/>
  <c r="F86" i="1"/>
  <c r="H85" i="1"/>
  <c r="F85" i="1"/>
  <c r="H81" i="1"/>
  <c r="F81" i="1"/>
  <c r="H80" i="1"/>
  <c r="F80" i="1"/>
  <c r="H77" i="1"/>
  <c r="F77" i="1"/>
  <c r="H74" i="1"/>
  <c r="F74" i="1"/>
  <c r="H71" i="1"/>
  <c r="F71" i="1"/>
  <c r="H70" i="1"/>
  <c r="F70" i="1"/>
  <c r="F62" i="1"/>
  <c r="H62" i="1"/>
  <c r="F63" i="1"/>
  <c r="H63" i="1"/>
  <c r="H66" i="1"/>
  <c r="F66" i="1"/>
  <c r="H65" i="1"/>
  <c r="F65" i="1"/>
  <c r="H64" i="1"/>
  <c r="F64" i="1"/>
  <c r="H59" i="1"/>
  <c r="F59" i="1"/>
  <c r="H58" i="1"/>
  <c r="F58" i="1"/>
  <c r="H55" i="1"/>
  <c r="F55" i="1"/>
  <c r="H54" i="1"/>
  <c r="F54" i="1"/>
  <c r="H51" i="1"/>
  <c r="F51" i="1"/>
  <c r="H50" i="1"/>
  <c r="F50" i="1"/>
  <c r="H49" i="1"/>
  <c r="F49" i="1"/>
  <c r="H48" i="1"/>
  <c r="F48" i="1"/>
  <c r="F43" i="1"/>
  <c r="H43" i="1"/>
  <c r="F44" i="1"/>
  <c r="H44" i="1"/>
  <c r="H42" i="1"/>
  <c r="F42" i="1"/>
  <c r="H41" i="1"/>
  <c r="F41" i="1"/>
  <c r="H40" i="1"/>
  <c r="F40" i="1"/>
  <c r="H37" i="1"/>
  <c r="F37" i="1"/>
  <c r="H36" i="1"/>
  <c r="F36" i="1"/>
  <c r="H35" i="1"/>
  <c r="F35" i="1"/>
  <c r="H28" i="1"/>
  <c r="F28" i="1"/>
  <c r="H27" i="1"/>
  <c r="F27" i="1"/>
  <c r="F26" i="1"/>
  <c r="H23" i="1"/>
  <c r="F23" i="1"/>
  <c r="H22" i="1"/>
  <c r="F22" i="1"/>
  <c r="F11" i="1"/>
  <c r="H11" i="1"/>
  <c r="F12" i="1"/>
  <c r="H12" i="1"/>
  <c r="F13" i="1"/>
  <c r="H13" i="1"/>
  <c r="F14" i="1"/>
  <c r="H14" i="1"/>
  <c r="F15" i="1"/>
  <c r="H15" i="1"/>
  <c r="F16" i="1"/>
  <c r="H16" i="1"/>
  <c r="F17" i="1"/>
  <c r="H17" i="1"/>
  <c r="F18" i="1"/>
  <c r="H18" i="1"/>
  <c r="F19" i="1"/>
  <c r="H19" i="1"/>
  <c r="F10" i="1"/>
  <c r="H10" i="1"/>
  <c r="H9" i="1"/>
  <c r="F9" i="1"/>
</calcChain>
</file>

<file path=xl/sharedStrings.xml><?xml version="1.0" encoding="utf-8"?>
<sst xmlns="http://schemas.openxmlformats.org/spreadsheetml/2006/main" count="730" uniqueCount="448">
  <si>
    <t>FULL LINE COMMERCIAL DEALER COST SCHEDULE</t>
  </si>
  <si>
    <t>CONFIDENTIAL - For use by Commercial Dealer Management and Nilfisk personnel only</t>
  </si>
  <si>
    <t>Supersedes all other price lists</t>
  </si>
  <si>
    <t>Model Number</t>
  </si>
  <si>
    <t>Description</t>
  </si>
  <si>
    <t>Included in Package</t>
  </si>
  <si>
    <t>Suggested List</t>
  </si>
  <si>
    <t>Discount</t>
  </si>
  <si>
    <t>Dealer Net</t>
  </si>
  <si>
    <t>MAP Limit</t>
  </si>
  <si>
    <t>MAP discount below list</t>
  </si>
  <si>
    <t>CARPET MAINTENANCE EQUIPMENT</t>
  </si>
  <si>
    <t>Upright Vacuums</t>
  </si>
  <si>
    <t>03002A</t>
  </si>
  <si>
    <t>ReliaVac® 12</t>
  </si>
  <si>
    <t>03003A</t>
  </si>
  <si>
    <t>ReliaVac® 12 DC</t>
  </si>
  <si>
    <t>03004A</t>
  </si>
  <si>
    <t>ReliaVac® 12 HP</t>
  </si>
  <si>
    <t>03005A</t>
  </si>
  <si>
    <t>ReliaVac® 16 HP</t>
  </si>
  <si>
    <t>9060107020</t>
  </si>
  <si>
    <t>107404753</t>
  </si>
  <si>
    <t>VU500™ 12</t>
  </si>
  <si>
    <t>107404754</t>
  </si>
  <si>
    <t>VU500™ 15</t>
  </si>
  <si>
    <t>107402351</t>
  </si>
  <si>
    <t>9060307020</t>
  </si>
  <si>
    <t>9060407010</t>
  </si>
  <si>
    <t>9060507010</t>
  </si>
  <si>
    <t/>
  </si>
  <si>
    <t>Backpack Vacuums</t>
  </si>
  <si>
    <t>9060608010</t>
  </si>
  <si>
    <t>Adgility™ 6XP</t>
  </si>
  <si>
    <t>9060705010</t>
  </si>
  <si>
    <t>Adgility™ 10XP</t>
  </si>
  <si>
    <t>Canister Vacuums</t>
  </si>
  <si>
    <t>9055314010</t>
  </si>
  <si>
    <t>Euroclean GD930</t>
  </si>
  <si>
    <t>9060904010</t>
  </si>
  <si>
    <t>VP300™</t>
  </si>
  <si>
    <t>107412042</t>
  </si>
  <si>
    <t>VP600™</t>
  </si>
  <si>
    <t>Wide Area Vacuum</t>
  </si>
  <si>
    <t>56330020</t>
  </si>
  <si>
    <t>CarpeTriever™ 28</t>
  </si>
  <si>
    <t>CARPET EXTRACTORS</t>
  </si>
  <si>
    <t>Self-Contained Carpet Extractors</t>
  </si>
  <si>
    <t>ES300™ ST</t>
  </si>
  <si>
    <t>ES300™ XP</t>
  </si>
  <si>
    <t>56265501</t>
  </si>
  <si>
    <t>ES400™ XLP</t>
  </si>
  <si>
    <t>Portable Extractors</t>
  </si>
  <si>
    <t>56105292</t>
  </si>
  <si>
    <t>ET610™ 100C</t>
  </si>
  <si>
    <t>Machine only</t>
  </si>
  <si>
    <t>56105420</t>
  </si>
  <si>
    <t>ET610™ 100C-15-SW</t>
  </si>
  <si>
    <t>w/15 ft. hose/SS single bend wand</t>
  </si>
  <si>
    <t>56105293</t>
  </si>
  <si>
    <t>ET610™ 100H</t>
  </si>
  <si>
    <t>56105423</t>
  </si>
  <si>
    <t>ET610™ 100H-15-SW</t>
  </si>
  <si>
    <t>56105294</t>
  </si>
  <si>
    <t>ET610™ 100SC</t>
  </si>
  <si>
    <t>56105421</t>
  </si>
  <si>
    <t>ET610™ 100SC-15-SW</t>
  </si>
  <si>
    <t>Battery Walk-Behind Extractors</t>
  </si>
  <si>
    <t>56317005</t>
  </si>
  <si>
    <t>AquaPLUS™ AXP™</t>
  </si>
  <si>
    <t>Four 251 Ah wet batteries, onboard charger and brushes</t>
  </si>
  <si>
    <t>56317007</t>
  </si>
  <si>
    <t>Four 255 Ah maint-free (AGM) batteries, onboard charger and brushes</t>
  </si>
  <si>
    <t>56317010</t>
  </si>
  <si>
    <t>Adphibian™</t>
  </si>
  <si>
    <t>56317011</t>
  </si>
  <si>
    <t>Battery Rider Extractors</t>
  </si>
  <si>
    <t>56344201</t>
  </si>
  <si>
    <t>ES4000™</t>
  </si>
  <si>
    <t>Four 420 Ah wet batteries, shelf charger and brushes</t>
  </si>
  <si>
    <t>56344204</t>
  </si>
  <si>
    <t>Four 312 Ah maint-free AGM batteries, onboard charger and brushes</t>
  </si>
  <si>
    <t>SPECIALTY CLEANING EQUIPMENT</t>
  </si>
  <si>
    <t>56381594</t>
  </si>
  <si>
    <t>All Cleaner XP™</t>
  </si>
  <si>
    <t>SWEEPERS</t>
  </si>
  <si>
    <t>9084702010</t>
  </si>
  <si>
    <t>Terra® 28B</t>
  </si>
  <si>
    <t>One 86 Ah maint-free (gel) battery and onboard charger</t>
  </si>
  <si>
    <t>56383323</t>
  </si>
  <si>
    <t>SW900™</t>
  </si>
  <si>
    <t>Two 242 Ah wet batteries, single side broom OBC</t>
  </si>
  <si>
    <t>56383324</t>
  </si>
  <si>
    <t>Two 180 Ah maint-free (gel) batteries, single side broom OBC</t>
  </si>
  <si>
    <t>56100785</t>
  </si>
  <si>
    <t>Terra® 4300B</t>
  </si>
  <si>
    <t>Four 310 Ah wet batteries and onboard charger</t>
  </si>
  <si>
    <t>56100787</t>
  </si>
  <si>
    <t>Four 312 Ah maint-free (AGM) batteries and onboard charger</t>
  </si>
  <si>
    <t>FLOOR MACHINES</t>
  </si>
  <si>
    <t>Pacesetter™ Floor Machines</t>
  </si>
  <si>
    <t>01330A</t>
  </si>
  <si>
    <t>Pacesetter™ 17HD</t>
  </si>
  <si>
    <t>Pad Holder</t>
  </si>
  <si>
    <t>01410A</t>
  </si>
  <si>
    <t>Pacesetter™ 20HD</t>
  </si>
  <si>
    <t>Two Speed Floor Machines</t>
  </si>
  <si>
    <t>01440A</t>
  </si>
  <si>
    <t>Pacesetter™ 20TS</t>
  </si>
  <si>
    <t>Special Floor Machines</t>
  </si>
  <si>
    <t>01460A</t>
  </si>
  <si>
    <t>Pacesetter™ 20SD</t>
  </si>
  <si>
    <t>Orbital Floor Machines</t>
  </si>
  <si>
    <t>56105614</t>
  </si>
  <si>
    <t>FM810™ ST</t>
  </si>
  <si>
    <t>56105616</t>
  </si>
  <si>
    <t>FM810™ XP</t>
  </si>
  <si>
    <t>BURNISHERS</t>
  </si>
  <si>
    <t>Cord Electric</t>
  </si>
  <si>
    <t>01510A</t>
  </si>
  <si>
    <t xml:space="preserve">Advolution™ 20 </t>
  </si>
  <si>
    <t>01520A</t>
  </si>
  <si>
    <t>Advolution™ 20XP</t>
  </si>
  <si>
    <t>Walk-Behind Burnishers</t>
  </si>
  <si>
    <t>56383510</t>
  </si>
  <si>
    <t>BU800™ 20B</t>
  </si>
  <si>
    <t>200 Ah wet batteries, onboard charger, passive dust control</t>
  </si>
  <si>
    <t>56383512</t>
  </si>
  <si>
    <t>234 Ah maint-free (AGM) batteries, onboard charger, passive dust control</t>
  </si>
  <si>
    <t>56383509</t>
  </si>
  <si>
    <t>BU800™ 20BT</t>
  </si>
  <si>
    <t>56383511</t>
  </si>
  <si>
    <t>WET/DRY VACUUMS</t>
  </si>
  <si>
    <t>VL500 35 - 9 Gal</t>
  </si>
  <si>
    <t xml:space="preserve">Tools:  Floor Nozzle w/ Rubber Strip, Nozzle Brush Tool, Crevice Tool, Hose Extension </t>
  </si>
  <si>
    <t>VL500 55 - 14 Gal</t>
  </si>
  <si>
    <t>VL500 - 14 Gal Complete</t>
  </si>
  <si>
    <t>Tools:  Floor Nozzle w/ Rubber Strip, Nozzle Brush Tool, Crevice Tool, Hose Extension &amp; Squeegee Kit (field installed)</t>
  </si>
  <si>
    <t>VL500 75 ERGO - 19 Gal</t>
  </si>
  <si>
    <t>VL500 75 ERGO - 19 Gal Squeegee Kit</t>
  </si>
  <si>
    <t>Squeegee Kit (field installed) Tools Optional</t>
  </si>
  <si>
    <t>VL500 75 ERGO - 19 Gal Complete</t>
  </si>
  <si>
    <t>AUTOMATIC SCRUBBERS</t>
  </si>
  <si>
    <t xml:space="preserve">Small Scrubbers </t>
  </si>
  <si>
    <t>107408120</t>
  </si>
  <si>
    <t>SC100™</t>
  </si>
  <si>
    <t>Medium nylon brushes, 33ft cord</t>
  </si>
  <si>
    <t>SC100™ Complete</t>
  </si>
  <si>
    <t>Medium nylon brushes, 50ft cord, Hose/Wand kit and Carpet Care Kit</t>
  </si>
  <si>
    <t>9087381020</t>
  </si>
  <si>
    <t>SC250™</t>
  </si>
  <si>
    <t>One 7.8 Ah lithium battery, onboard charger and medium duty white brush</t>
  </si>
  <si>
    <t>9087342020</t>
  </si>
  <si>
    <t>SC351™</t>
  </si>
  <si>
    <t xml:space="preserve">One 84 Ah maint-free AGM battery </t>
  </si>
  <si>
    <t>56383128</t>
  </si>
  <si>
    <t>SC450™</t>
  </si>
  <si>
    <t>Two 105 Ah wet batteries, onboard charger and blue Prolene brush</t>
  </si>
  <si>
    <t>56383129</t>
  </si>
  <si>
    <t>Two 98 Ah maint-free (gel) batteries, onboard charger and blue Prolene brush</t>
  </si>
  <si>
    <t>56383956</t>
  </si>
  <si>
    <t>Two 105 Ah wet batteries, onboard charger, splash skirt and pad holder</t>
  </si>
  <si>
    <t>SC500™ 20D</t>
  </si>
  <si>
    <t>Two 105 Ah wet batteries, onboard charger and pad holder</t>
  </si>
  <si>
    <t>Two 130 Ah wet batteries, onboard charger and pad holder</t>
  </si>
  <si>
    <t>Two 105 Ah wet batteries, onboard charger and prolene brush</t>
  </si>
  <si>
    <t>Two 130 Ah wet batteries, onboard charger and prolene brush</t>
  </si>
  <si>
    <t>SC500™ X20D EcoFlex™</t>
  </si>
  <si>
    <t>SC500™ X20R EcoFlex™</t>
  </si>
  <si>
    <t>Two 130 Ah wet batteries, onboard charger and fixed pad holder</t>
  </si>
  <si>
    <t>56317331</t>
  </si>
  <si>
    <t>Adfinity™ X20C EcoFlex™</t>
  </si>
  <si>
    <t>Two 130 Ah wet batteries, onboard charger and brushes</t>
  </si>
  <si>
    <t>56317332</t>
  </si>
  <si>
    <t>Two 98 Ah maint-free (gel) batteries, onboard charger and brushes</t>
  </si>
  <si>
    <t>56317333</t>
  </si>
  <si>
    <t>Adfinity™ X24D EcoFlex™</t>
  </si>
  <si>
    <t>Two 130 Ah wet batteries, onboard charger and pad holders</t>
  </si>
  <si>
    <t>56317334</t>
  </si>
  <si>
    <t>Two 98 Ah maint-free (gel) batteries, onboard charger and pad holders</t>
  </si>
  <si>
    <t xml:space="preserve">SC750™ Walk-Behind Scrubbers </t>
  </si>
  <si>
    <t>56112379</t>
  </si>
  <si>
    <t>SC750™ ST 26D</t>
  </si>
  <si>
    <t xml:space="preserve"> Four 242 Ah wet batteries, shelf charger, pad holders</t>
  </si>
  <si>
    <t>56112380</t>
  </si>
  <si>
    <t xml:space="preserve"> Four 310 Ah wet batteries, shelf charger, pad holders</t>
  </si>
  <si>
    <t>56112381</t>
  </si>
  <si>
    <t>SC750™ 26D</t>
  </si>
  <si>
    <t>56112382</t>
  </si>
  <si>
    <t>56112383</t>
  </si>
  <si>
    <t xml:space="preserve"> Four 242 Ah wet batteries, EcoFlex™, shelf charger, pad holders</t>
  </si>
  <si>
    <t>56112384</t>
  </si>
  <si>
    <t xml:space="preserve"> Four 310 Ah wet batteries, EcoFlex™, shelf charger, pad holders</t>
  </si>
  <si>
    <t>56112395</t>
  </si>
  <si>
    <t xml:space="preserve"> Four 242 Ah wet batteries, onboard charger, pad holders</t>
  </si>
  <si>
    <t>56112396</t>
  </si>
  <si>
    <t xml:space="preserve"> Four 310 Ah wet batteries, onboard charger, pad holders</t>
  </si>
  <si>
    <t>56112397</t>
  </si>
  <si>
    <t xml:space="preserve"> Four 312 Ah maint-free (AGM), onboard charger, pad holders</t>
  </si>
  <si>
    <t>56112398</t>
  </si>
  <si>
    <t xml:space="preserve"> Four 242 Ah wet batteries, EcoFlex™, onboard charger, pad holders</t>
  </si>
  <si>
    <t>56112399</t>
  </si>
  <si>
    <t xml:space="preserve"> Four 310 Ah wet batteries, EcoFlex™, onboard charger, pad holders</t>
  </si>
  <si>
    <t>56112400</t>
  </si>
  <si>
    <t xml:space="preserve"> Four 312 Ah maint-free (AGM), EcoFlex™, onboard charger, pad holders</t>
  </si>
  <si>
    <t>56112361</t>
  </si>
  <si>
    <t>SC750™ 28D</t>
  </si>
  <si>
    <t>56112362</t>
  </si>
  <si>
    <t>56112363</t>
  </si>
  <si>
    <t>56112364</t>
  </si>
  <si>
    <t>56112365</t>
  </si>
  <si>
    <t>56112366</t>
  </si>
  <si>
    <t>56112373</t>
  </si>
  <si>
    <t>SC750™ 28C</t>
  </si>
  <si>
    <t xml:space="preserve"> Four 242 Ah wet batteries, onboard charger, brushes</t>
  </si>
  <si>
    <t>56112374</t>
  </si>
  <si>
    <t xml:space="preserve"> Four 310 Ah wet batteries, onboard charger, brushes</t>
  </si>
  <si>
    <t>56112375</t>
  </si>
  <si>
    <t xml:space="preserve"> Four 312 Ah maint-free (AGM), onboard charger, brushes</t>
  </si>
  <si>
    <t>56112376</t>
  </si>
  <si>
    <t xml:space="preserve"> Four 242 Ah wet batteries, EcoFlex™, onboard charger, brushes</t>
  </si>
  <si>
    <t>56112377</t>
  </si>
  <si>
    <t xml:space="preserve"> Four 310 Ah wet batteries, EcoFlex™, onboard charger, brushes</t>
  </si>
  <si>
    <t>56112378</t>
  </si>
  <si>
    <t xml:space="preserve"> Four 312 Ah maint-free (AGM), EcoFlex™, onboard charger, brushes</t>
  </si>
  <si>
    <t>56112790</t>
  </si>
  <si>
    <t>SC750™ 28R</t>
  </si>
  <si>
    <t>56112791</t>
  </si>
  <si>
    <t>56112792</t>
  </si>
  <si>
    <t xml:space="preserve">SC800™ Walk-Behind Scrubbers </t>
  </si>
  <si>
    <t>56112456</t>
  </si>
  <si>
    <t>SC800™ ST 34D</t>
  </si>
  <si>
    <t>56112457</t>
  </si>
  <si>
    <t>56112465</t>
  </si>
  <si>
    <t>SC800™ 34D</t>
  </si>
  <si>
    <t>56112466</t>
  </si>
  <si>
    <t>56112468</t>
  </si>
  <si>
    <t>56112469</t>
  </si>
  <si>
    <t>Six 310 Ah wet batteries, shelf charger and pad holders</t>
  </si>
  <si>
    <t>Six 242 Ah wet batteries, shelf charger and pad holders</t>
  </si>
  <si>
    <t>Six 310 Ah wet batteries, onboard charger and midlite grit brushes</t>
  </si>
  <si>
    <t>Six 242 Ah wet batteries, EcoFlex, onboard charger, holders</t>
  </si>
  <si>
    <t>Six 310 Ah wet batteries, EcoFlex, onboard charger, pad holders</t>
  </si>
  <si>
    <t>Six 310 Ah wet batteries, EcoFlex, onboard charger, midlite grit brushes</t>
  </si>
  <si>
    <t>Six 255 Ah AGM batteries, onboard charger, midlite grit brushes</t>
  </si>
  <si>
    <t>Six 255 Ah AGM batteries, EcoFlex, onboard charger, midlite grit brushes</t>
  </si>
  <si>
    <t>Six 255 Ah AGM batteries, EcoFlex, onboard charger, pad holders</t>
  </si>
  <si>
    <t>Six 255 Ah AGM batteries, onboard charger, pad holders</t>
  </si>
  <si>
    <t>Six 310 Ah wet batteries, onboard charger, midlite grit brushes</t>
  </si>
  <si>
    <t>SC1500™ Stand On Scrubber</t>
  </si>
  <si>
    <t>56104010</t>
  </si>
  <si>
    <t>SC1500™ 20D Disc EcoFlex™</t>
  </si>
  <si>
    <t>Four 208 Ah wet batteries, onboard charger and pad holder</t>
  </si>
  <si>
    <t>56104011</t>
  </si>
  <si>
    <t>Two 140 Ah maint-free AGM batteries, onboard charger and pad holder</t>
  </si>
  <si>
    <t>56104012</t>
  </si>
  <si>
    <t>SC1500™ 20D REV EcoFlex™</t>
  </si>
  <si>
    <t>56104013</t>
  </si>
  <si>
    <t>SC2000™ Rider Scrubbers</t>
  </si>
  <si>
    <t>56384071</t>
  </si>
  <si>
    <t>SC2000™ 20D EcoFlex™</t>
  </si>
  <si>
    <t>56384072</t>
  </si>
  <si>
    <t>SC3000™ Rider Scrubbers</t>
  </si>
  <si>
    <t>56381802</t>
  </si>
  <si>
    <t>SC3000™ 26D EcoFlex™</t>
  </si>
  <si>
    <t>Four 242 wet batteries, onboard charger and pad holders</t>
  </si>
  <si>
    <t>56381803</t>
  </si>
  <si>
    <t>Four 255 Ah maint-free AGM batteries, onboard charger and pad holders</t>
  </si>
  <si>
    <t>Advenger™ Rider REV Scrubbers</t>
  </si>
  <si>
    <t>56601895</t>
  </si>
  <si>
    <t>Advenger® X2805R-C EcoFlex™</t>
  </si>
  <si>
    <t>Four 310 Ah wet batteries, onboard charger and pad holders</t>
  </si>
  <si>
    <t>56601897</t>
  </si>
  <si>
    <t>Four 420 Ah wet batteries, onboard charger and pad holders</t>
  </si>
  <si>
    <t>56601896</t>
  </si>
  <si>
    <t>Four 312 Ah maint-free AGM batteries, onboard charger and pad holders</t>
  </si>
  <si>
    <t xml:space="preserve">2800™ ST and 3400™ ST Rider Scrubbers </t>
  </si>
  <si>
    <t>56601605</t>
  </si>
  <si>
    <t>2800™ ST</t>
  </si>
  <si>
    <t>Four 310 Ah wet batteries, shelf charger and pad holders</t>
  </si>
  <si>
    <t>56601607</t>
  </si>
  <si>
    <t>Four 420 Ah wet batteries, shelf charger and pad holders</t>
  </si>
  <si>
    <t>56601611</t>
  </si>
  <si>
    <t>3400™ ST</t>
  </si>
  <si>
    <t>56601613</t>
  </si>
  <si>
    <t xml:space="preserve">Advenger® Rider Scrubbers </t>
  </si>
  <si>
    <t>56601617</t>
  </si>
  <si>
    <t>Advenger® 2805D</t>
  </si>
  <si>
    <t>56601619</t>
  </si>
  <si>
    <t>56601623</t>
  </si>
  <si>
    <t>Advenger® X2805D EcoFlex™</t>
  </si>
  <si>
    <t>56601624</t>
  </si>
  <si>
    <t>Advenger® X2805D-C EcoFlex™</t>
  </si>
  <si>
    <t>56601625</t>
  </si>
  <si>
    <t>56601626</t>
  </si>
  <si>
    <t>56601635</t>
  </si>
  <si>
    <t>Advenger® X2805C EcoFlex™</t>
  </si>
  <si>
    <t>Four 310 Ah wet batteries, shelf charger and brushes</t>
  </si>
  <si>
    <t>56601636</t>
  </si>
  <si>
    <t>Advenger® X2805C-C EcoFlex™</t>
  </si>
  <si>
    <t>Four 310 Ah wet batteries, onboard charger and brushes</t>
  </si>
  <si>
    <t>56601637</t>
  </si>
  <si>
    <t>56601638</t>
  </si>
  <si>
    <t>56601647</t>
  </si>
  <si>
    <t>Advenger® X3405D EcoFlex™</t>
  </si>
  <si>
    <t>56601648</t>
  </si>
  <si>
    <t>Advenger® X3405D-C EcoFlex™</t>
  </si>
  <si>
    <t>56601649</t>
  </si>
  <si>
    <t>56601650</t>
  </si>
  <si>
    <t>COMBO MOP KITS</t>
  </si>
  <si>
    <t>56649241</t>
  </si>
  <si>
    <t>Dust Magnet™ Start up Kit</t>
  </si>
  <si>
    <t>Disposable Dust Magnet™ Sheets</t>
  </si>
  <si>
    <t>56649232</t>
  </si>
  <si>
    <t>Dust Magnet™ 200</t>
  </si>
  <si>
    <t>56649231</t>
  </si>
  <si>
    <t>Dust Magnet™ 100</t>
  </si>
  <si>
    <t>Mop Holders for Dust Magnets™</t>
  </si>
  <si>
    <t>56649258</t>
  </si>
  <si>
    <t>23" Mop Holder</t>
  </si>
  <si>
    <t>46" Mop Holder</t>
  </si>
  <si>
    <t>59" Mop Holder</t>
  </si>
  <si>
    <t>Handle Options for Dust Magnet™</t>
  </si>
  <si>
    <t>39" to 70" Cushion Grip Shaft</t>
  </si>
  <si>
    <t>56265502</t>
  </si>
  <si>
    <t>56265500</t>
  </si>
  <si>
    <t>107409094</t>
  </si>
  <si>
    <t>107409093</t>
  </si>
  <si>
    <t>56384673</t>
  </si>
  <si>
    <t>56384674</t>
  </si>
  <si>
    <t>56383408</t>
  </si>
  <si>
    <t>56384676</t>
  </si>
  <si>
    <t>107408121</t>
  </si>
  <si>
    <t>56384686</t>
  </si>
  <si>
    <t>56384688</t>
  </si>
  <si>
    <t>56384689</t>
  </si>
  <si>
    <t>56384690</t>
  </si>
  <si>
    <t>56384691</t>
  </si>
  <si>
    <t>56384692</t>
  </si>
  <si>
    <t>56384682</t>
  </si>
  <si>
    <t>56384683</t>
  </si>
  <si>
    <t>56383557</t>
  </si>
  <si>
    <t>56383558</t>
  </si>
  <si>
    <t>56383555</t>
  </si>
  <si>
    <t>56383556</t>
  </si>
  <si>
    <t>56649268</t>
  </si>
  <si>
    <t>56649269</t>
  </si>
  <si>
    <t>56649267</t>
  </si>
  <si>
    <t>SpectrumTM 12P</t>
  </si>
  <si>
    <t>SpectrumTM 12H</t>
  </si>
  <si>
    <t>SpectrumTM 15P</t>
  </si>
  <si>
    <t>SpectrumTM 15D</t>
  </si>
  <si>
    <t>SpectrumTM 18D</t>
  </si>
  <si>
    <t>50000390</t>
  </si>
  <si>
    <t>AM2400D™</t>
  </si>
  <si>
    <t>AIR MOVER, TROLLEY KIT PART#  VV78406 SOLD SEPARATELY</t>
  </si>
  <si>
    <t>ADVANCE</t>
  </si>
  <si>
    <t>56385456</t>
  </si>
  <si>
    <t>One 7.8 Ah lithium battery, fast shelf charger and medium duty white brush</t>
  </si>
  <si>
    <t>56385360</t>
  </si>
  <si>
    <t>SC401 17B</t>
  </si>
  <si>
    <t>56385361</t>
  </si>
  <si>
    <t>Two 98 Ah maint-frre (gel) batteries, onboard charger and prolene brush</t>
  </si>
  <si>
    <t>56385362</t>
  </si>
  <si>
    <t>SC401 17BD</t>
  </si>
  <si>
    <t>56385363</t>
  </si>
  <si>
    <t>SC901 28D</t>
  </si>
  <si>
    <t>SC901 X28D</t>
  </si>
  <si>
    <t>SC901 34D</t>
  </si>
  <si>
    <t>SC901 X34D</t>
  </si>
  <si>
    <t>SC901 X32C</t>
  </si>
  <si>
    <t>SC901 32C</t>
  </si>
  <si>
    <t xml:space="preserve">SC901™ Walk-Behind Scrubbers </t>
  </si>
  <si>
    <t>Rider Burnishers</t>
  </si>
  <si>
    <t>56422003</t>
  </si>
  <si>
    <t>Advolution™ 2710</t>
  </si>
  <si>
    <t>Six 420 Ah wet batteries, shelf charger and pad driver</t>
  </si>
  <si>
    <t>56422004</t>
  </si>
  <si>
    <t>Six 420 Ah wet batteries, onboard charger and pad driver</t>
  </si>
  <si>
    <t>56422185</t>
  </si>
  <si>
    <t>Six 312 Ah maint-free (AGM) batteries, onboard charger and pad driver</t>
  </si>
  <si>
    <t>56115565</t>
  </si>
  <si>
    <t>Six 104 Ah TPPL batteries, shelf charger and pad holders</t>
  </si>
  <si>
    <t>56115535</t>
  </si>
  <si>
    <t>56115541</t>
  </si>
  <si>
    <t>56115536</t>
  </si>
  <si>
    <t>56115542</t>
  </si>
  <si>
    <t>56115538</t>
  </si>
  <si>
    <t>56115539</t>
  </si>
  <si>
    <t>56115547</t>
  </si>
  <si>
    <t>56115544</t>
  </si>
  <si>
    <t>56115545</t>
  </si>
  <si>
    <t>56115549</t>
  </si>
  <si>
    <t>56115556</t>
  </si>
  <si>
    <t>56115557</t>
  </si>
  <si>
    <t>56115550</t>
  </si>
  <si>
    <t>56115546</t>
  </si>
  <si>
    <t>56115543</t>
  </si>
  <si>
    <t>56115548</t>
  </si>
  <si>
    <t>56115540</t>
  </si>
  <si>
    <t>56115537</t>
  </si>
  <si>
    <t>56115554</t>
  </si>
  <si>
    <t>56115555</t>
  </si>
  <si>
    <t>Six 242 Ah wet batteries, shelf charger, pad holders</t>
  </si>
  <si>
    <t>Six 242 Ah wet batteries, EcoFlex, onboard charger, pad holders</t>
  </si>
  <si>
    <t xml:space="preserve">SC5000™ Rider Scrubbers </t>
  </si>
  <si>
    <t>56117020</t>
  </si>
  <si>
    <r>
      <t>SC5000</t>
    </r>
    <r>
      <rPr>
        <sz val="11"/>
        <rFont val="Calibri"/>
        <family val="2"/>
      </rPr>
      <t>™</t>
    </r>
    <r>
      <rPr>
        <sz val="11"/>
        <rFont val="Arial"/>
        <family val="2"/>
      </rPr>
      <t xml:space="preserve"> 32C Ecoflex</t>
    </r>
    <r>
      <rPr>
        <sz val="11"/>
        <rFont val="Calibri"/>
        <family val="2"/>
      </rPr>
      <t>™</t>
    </r>
  </si>
  <si>
    <r>
      <t>Six 310 Ah wet batteries, onboard charger, MidLite Grit™ brushes, and EcoFlex</t>
    </r>
    <r>
      <rPr>
        <sz val="10"/>
        <rFont val="Calibri"/>
        <family val="2"/>
      </rPr>
      <t>™</t>
    </r>
  </si>
  <si>
    <t>56117018</t>
  </si>
  <si>
    <r>
      <t>Six 420 Ah wet batteries, onboard charger, MidLite Grit™ brushes, and EcoFlex</t>
    </r>
    <r>
      <rPr>
        <sz val="10"/>
        <rFont val="Calibri"/>
        <family val="2"/>
      </rPr>
      <t>™</t>
    </r>
  </si>
  <si>
    <t>56117022</t>
  </si>
  <si>
    <t>Six 312 Ah AGM batteries, onboard charger, MidLite Grit™ brushes, and EcoFlex™</t>
  </si>
  <si>
    <t>56117026</t>
  </si>
  <si>
    <t>SC5000™ 32C</t>
  </si>
  <si>
    <t>Six 310 Ah wet batteries, onboard charger and MidLite Grit™ brushes</t>
  </si>
  <si>
    <t>56117024</t>
  </si>
  <si>
    <t>Six 420 Ah wet batteries, onboard charger and MidLite Grit™ brushes</t>
  </si>
  <si>
    <t>56117028</t>
  </si>
  <si>
    <t>Six 312 Ah AGM batteries, onboard charger and MidLite Grit™ brushes</t>
  </si>
  <si>
    <t>56117008</t>
  </si>
  <si>
    <t>SC5000™ 34D Ecoflex™</t>
  </si>
  <si>
    <t>56117006</t>
  </si>
  <si>
    <t>56117010</t>
  </si>
  <si>
    <t>56117014</t>
  </si>
  <si>
    <r>
      <t>SC5000</t>
    </r>
    <r>
      <rPr>
        <sz val="11"/>
        <rFont val="Calibri"/>
        <family val="2"/>
      </rPr>
      <t>™</t>
    </r>
    <r>
      <rPr>
        <sz val="11"/>
        <rFont val="Arial"/>
        <family val="2"/>
      </rPr>
      <t xml:space="preserve"> 34D</t>
    </r>
  </si>
  <si>
    <t>56117012</t>
  </si>
  <si>
    <t>56117016</t>
  </si>
  <si>
    <t>56117032</t>
  </si>
  <si>
    <t>SC5000™ 36C Ecoflex™</t>
  </si>
  <si>
    <t>56117030</t>
  </si>
  <si>
    <t>56117034</t>
  </si>
  <si>
    <t>56117038</t>
  </si>
  <si>
    <r>
      <t>SC5000</t>
    </r>
    <r>
      <rPr>
        <sz val="11"/>
        <rFont val="Calibri"/>
        <family val="2"/>
      </rPr>
      <t>™</t>
    </r>
    <r>
      <rPr>
        <sz val="11"/>
        <rFont val="Arial"/>
        <family val="2"/>
      </rPr>
      <t xml:space="preserve"> 36C</t>
    </r>
  </si>
  <si>
    <t>56117036</t>
  </si>
  <si>
    <t>56117040</t>
  </si>
  <si>
    <t>EFFECTIVE - January 1, 2023</t>
  </si>
  <si>
    <t>Two 150 Ah AGM batteries, onboard charger and pad holder</t>
  </si>
  <si>
    <t>56394690</t>
  </si>
  <si>
    <t>One 64 Ah Litium-ion battery, onboard charger and pad holder</t>
  </si>
  <si>
    <t>Two 150 Ah AGM batteries, onboard charger and prolene brush</t>
  </si>
  <si>
    <t>Two 150 Ah maint-free (AGM), onboard charger and pad holder</t>
  </si>
  <si>
    <t>Two 150 Ah maint-free (AGM), onboard charger and prolene brush</t>
  </si>
  <si>
    <t>Two 150 Ah maint-free (AGM) batteries, onboard charger and fixed pad holder</t>
  </si>
  <si>
    <t>One 64 Ah Litium-ion battery, onboard charger and fixed pad holder</t>
  </si>
  <si>
    <t>Two 150 Ah maint-free AGM batteries, onboard charger and pad holders</t>
  </si>
  <si>
    <t>56394693</t>
  </si>
  <si>
    <t>One 64 Ah Litium-ion battery, onboard charger and pad 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</si>
</sst>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0&quot; &quot;000&quot; &quot;000"/>
    <numFmt numFmtId="166" formatCode="0;[Red]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4"/>
      <name val="Arial Narrow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name val="Arial Narrow"/>
      <family val="2"/>
    </font>
    <font>
      <sz val="11"/>
      <name val="Arial Narrow"/>
      <family val="2"/>
    </font>
    <font>
      <sz val="12"/>
      <color indexed="8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1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5">
    <xf numFmtId="0" fontId="0" fillId="0" borderId="0" xfId="0"/>
    <xf numFmtId="49" fontId="2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/>
    </xf>
    <xf numFmtId="7" fontId="11" fillId="2" borderId="8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49" fontId="12" fillId="2" borderId="0" xfId="0" applyNumberFormat="1" applyFont="1" applyFill="1" applyAlignment="1" applyProtection="1">
      <alignment horizontal="left" vertical="center"/>
      <protection locked="0"/>
    </xf>
    <xf numFmtId="0" fontId="12" fillId="2" borderId="0" xfId="0" applyFont="1" applyFill="1" applyAlignment="1">
      <alignment horizontal="center" vertical="center"/>
    </xf>
    <xf numFmtId="9" fontId="12" fillId="2" borderId="10" xfId="0" applyNumberFormat="1" applyFont="1" applyFill="1" applyBorder="1" applyAlignment="1">
      <alignment horizontal="center" vertical="center"/>
    </xf>
    <xf numFmtId="9" fontId="12" fillId="2" borderId="0" xfId="0" applyNumberFormat="1" applyFont="1" applyFill="1" applyAlignment="1" applyProtection="1">
      <alignment horizontal="center" vertical="center"/>
      <protection hidden="1"/>
    </xf>
    <xf numFmtId="49" fontId="11" fillId="2" borderId="0" xfId="0" applyNumberFormat="1" applyFont="1" applyFill="1" applyAlignment="1" applyProtection="1">
      <alignment horizontal="left" vertical="center"/>
      <protection locked="0"/>
    </xf>
    <xf numFmtId="9" fontId="11" fillId="2" borderId="0" xfId="0" applyNumberFormat="1" applyFont="1" applyFill="1" applyAlignment="1" applyProtection="1">
      <alignment horizontal="center" vertical="center"/>
      <protection hidden="1"/>
    </xf>
    <xf numFmtId="49" fontId="10" fillId="2" borderId="11" xfId="0" applyNumberFormat="1" applyFont="1" applyFill="1" applyBorder="1" applyAlignment="1">
      <alignment horizontal="left" vertical="center"/>
    </xf>
    <xf numFmtId="9" fontId="11" fillId="2" borderId="11" xfId="0" applyNumberFormat="1" applyFont="1" applyFill="1" applyBorder="1" applyAlignment="1" applyProtection="1">
      <alignment horizontal="center" vertical="center"/>
      <protection hidden="1"/>
    </xf>
    <xf numFmtId="49" fontId="10" fillId="2" borderId="0" xfId="0" applyNumberFormat="1" applyFont="1" applyFill="1" applyAlignment="1">
      <alignment horizontal="left" vertical="center"/>
    </xf>
    <xf numFmtId="49" fontId="12" fillId="2" borderId="12" xfId="0" applyNumberFormat="1" applyFont="1" applyFill="1" applyBorder="1" applyAlignment="1" applyProtection="1">
      <alignment horizontal="left" vertical="center"/>
      <protection locked="0"/>
    </xf>
    <xf numFmtId="9" fontId="12" fillId="2" borderId="12" xfId="0" applyNumberFormat="1" applyFont="1" applyFill="1" applyBorder="1" applyAlignment="1">
      <alignment horizontal="center" vertical="center"/>
    </xf>
    <xf numFmtId="9" fontId="11" fillId="2" borderId="8" xfId="0" applyNumberFormat="1" applyFont="1" applyFill="1" applyBorder="1" applyAlignment="1" applyProtection="1">
      <alignment horizontal="center" vertical="center"/>
      <protection hidden="1"/>
    </xf>
    <xf numFmtId="0" fontId="12" fillId="2" borderId="8" xfId="0" applyFont="1" applyFill="1" applyBorder="1" applyAlignment="1">
      <alignment horizontal="center" vertical="center"/>
    </xf>
    <xf numFmtId="49" fontId="12" fillId="2" borderId="11" xfId="0" applyNumberFormat="1" applyFont="1" applyFill="1" applyBorder="1" applyAlignment="1" applyProtection="1">
      <alignment horizontal="left" vertical="center"/>
      <protection locked="0"/>
    </xf>
    <xf numFmtId="49" fontId="12" fillId="2" borderId="0" xfId="0" applyNumberFormat="1" applyFont="1" applyFill="1" applyAlignment="1">
      <alignment horizontal="left" vertical="center"/>
    </xf>
    <xf numFmtId="49" fontId="10" fillId="2" borderId="11" xfId="0" quotePrefix="1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9" fontId="12" fillId="2" borderId="11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vertical="center"/>
    </xf>
    <xf numFmtId="49" fontId="12" fillId="2" borderId="10" xfId="0" applyNumberFormat="1" applyFont="1" applyFill="1" applyBorder="1" applyAlignment="1" applyProtection="1">
      <alignment horizontal="left" vertical="center"/>
      <protection locked="0"/>
    </xf>
    <xf numFmtId="43" fontId="11" fillId="2" borderId="0" xfId="1" applyFont="1" applyFill="1" applyBorder="1" applyAlignment="1" applyProtection="1">
      <alignment horizontal="left" vertical="center"/>
      <protection locked="0"/>
    </xf>
    <xf numFmtId="43" fontId="12" fillId="2" borderId="0" xfId="1" applyFont="1" applyFill="1" applyBorder="1" applyAlignment="1">
      <alignment horizontal="center" vertical="center"/>
    </xf>
    <xf numFmtId="43" fontId="11" fillId="2" borderId="0" xfId="1" applyFont="1" applyFill="1" applyBorder="1" applyAlignment="1">
      <alignment horizontal="center" vertical="center"/>
    </xf>
    <xf numFmtId="49" fontId="12" fillId="3" borderId="0" xfId="0" applyNumberFormat="1" applyFont="1" applyFill="1" applyAlignment="1" applyProtection="1">
      <alignment horizontal="left" vertical="center"/>
      <protection locked="0"/>
    </xf>
    <xf numFmtId="49" fontId="14" fillId="2" borderId="0" xfId="0" applyNumberFormat="1" applyFont="1" applyFill="1" applyAlignment="1" applyProtection="1">
      <alignment horizontal="left" vertical="center"/>
      <protection locked="0"/>
    </xf>
    <xf numFmtId="0" fontId="14" fillId="2" borderId="0" xfId="0" applyFont="1" applyFill="1" applyAlignment="1">
      <alignment horizontal="center" vertical="center"/>
    </xf>
    <xf numFmtId="49" fontId="10" fillId="2" borderId="0" xfId="0" quotePrefix="1" applyNumberFormat="1" applyFont="1" applyFill="1" applyAlignment="1">
      <alignment horizontal="left" vertical="center"/>
    </xf>
    <xf numFmtId="49" fontId="12" fillId="2" borderId="9" xfId="0" applyNumberFormat="1" applyFont="1" applyFill="1" applyBorder="1" applyAlignment="1" applyProtection="1">
      <alignment horizontal="left" vertical="center"/>
      <protection locked="0"/>
    </xf>
    <xf numFmtId="7" fontId="12" fillId="2" borderId="0" xfId="0" applyNumberFormat="1" applyFont="1" applyFill="1" applyAlignment="1">
      <alignment horizontal="center" vertical="center"/>
    </xf>
    <xf numFmtId="9" fontId="12" fillId="2" borderId="0" xfId="0" applyNumberFormat="1" applyFont="1" applyFill="1" applyAlignment="1">
      <alignment horizontal="center" vertical="center"/>
    </xf>
    <xf numFmtId="49" fontId="14" fillId="2" borderId="0" xfId="0" applyNumberFormat="1" applyFont="1" applyFill="1" applyAlignment="1">
      <alignment horizontal="left" vertical="center"/>
    </xf>
    <xf numFmtId="49" fontId="8" fillId="2" borderId="13" xfId="0" applyNumberFormat="1" applyFont="1" applyFill="1" applyBorder="1" applyAlignment="1" applyProtection="1">
      <alignment horizontal="center" vertical="center" wrapText="1"/>
      <protection hidden="1"/>
    </xf>
    <xf numFmtId="164" fontId="8" fillId="3" borderId="6" xfId="0" applyNumberFormat="1" applyFont="1" applyFill="1" applyBorder="1" applyAlignment="1" applyProtection="1">
      <alignment horizontal="center" vertical="center" wrapText="1"/>
      <protection hidden="1"/>
    </xf>
    <xf numFmtId="164" fontId="8" fillId="3" borderId="14" xfId="0" quotePrefix="1" applyNumberFormat="1" applyFont="1" applyFill="1" applyBorder="1" applyAlignment="1" applyProtection="1">
      <alignment horizontal="center" vertical="center" wrapText="1"/>
      <protection hidden="1"/>
    </xf>
    <xf numFmtId="49" fontId="5" fillId="2" borderId="13" xfId="0" applyNumberFormat="1" applyFont="1" applyFill="1" applyBorder="1" applyAlignment="1">
      <alignment horizontal="left" vertical="center"/>
    </xf>
    <xf numFmtId="167" fontId="12" fillId="3" borderId="10" xfId="0" applyNumberFormat="1" applyFont="1" applyFill="1" applyBorder="1" applyAlignment="1" applyProtection="1">
      <alignment horizontal="center" vertical="center"/>
      <protection hidden="1"/>
    </xf>
    <xf numFmtId="167" fontId="12" fillId="3" borderId="0" xfId="0" applyNumberFormat="1" applyFont="1" applyFill="1" applyAlignment="1" applyProtection="1">
      <alignment horizontal="center" vertical="center"/>
      <protection hidden="1"/>
    </xf>
    <xf numFmtId="167" fontId="12" fillId="3" borderId="11" xfId="0" applyNumberFormat="1" applyFont="1" applyFill="1" applyBorder="1" applyAlignment="1" applyProtection="1">
      <alignment horizontal="center" vertical="center"/>
      <protection hidden="1"/>
    </xf>
    <xf numFmtId="167" fontId="12" fillId="2" borderId="12" xfId="0" applyNumberFormat="1" applyFont="1" applyFill="1" applyBorder="1" applyAlignment="1" applyProtection="1">
      <alignment horizontal="center" vertical="center"/>
      <protection hidden="1"/>
    </xf>
    <xf numFmtId="167" fontId="12" fillId="2" borderId="0" xfId="0" applyNumberFormat="1" applyFont="1" applyFill="1" applyAlignment="1" applyProtection="1">
      <alignment horizontal="center" vertical="center"/>
      <protection hidden="1"/>
    </xf>
    <xf numFmtId="167" fontId="11" fillId="2" borderId="0" xfId="0" applyNumberFormat="1" applyFont="1" applyFill="1" applyAlignment="1" applyProtection="1">
      <alignment horizontal="center" vertical="center"/>
      <protection hidden="1"/>
    </xf>
    <xf numFmtId="167" fontId="11" fillId="2" borderId="11" xfId="0" applyNumberFormat="1" applyFont="1" applyFill="1" applyBorder="1" applyAlignment="1" applyProtection="1">
      <alignment horizontal="center" vertical="center"/>
      <protection hidden="1"/>
    </xf>
    <xf numFmtId="167" fontId="11" fillId="2" borderId="0" xfId="1" applyNumberFormat="1" applyFont="1" applyFill="1" applyBorder="1" applyAlignment="1" applyProtection="1">
      <alignment horizontal="center" vertical="center"/>
      <protection hidden="1"/>
    </xf>
    <xf numFmtId="167" fontId="11" fillId="2" borderId="11" xfId="1" applyNumberFormat="1" applyFont="1" applyFill="1" applyBorder="1" applyAlignment="1" applyProtection="1">
      <alignment horizontal="center" vertical="center"/>
      <protection hidden="1"/>
    </xf>
    <xf numFmtId="167" fontId="11" fillId="2" borderId="0" xfId="0" applyNumberFormat="1" applyFont="1" applyFill="1" applyAlignment="1">
      <alignment horizontal="center" vertical="center"/>
    </xf>
    <xf numFmtId="167" fontId="11" fillId="2" borderId="8" xfId="0" applyNumberFormat="1" applyFont="1" applyFill="1" applyBorder="1" applyAlignment="1" applyProtection="1">
      <alignment horizontal="center" vertical="center"/>
      <protection hidden="1"/>
    </xf>
    <xf numFmtId="167" fontId="11" fillId="2" borderId="9" xfId="0" applyNumberFormat="1" applyFont="1" applyFill="1" applyBorder="1" applyAlignment="1" applyProtection="1">
      <alignment horizontal="center" vertical="center"/>
      <protection hidden="1"/>
    </xf>
    <xf numFmtId="167" fontId="12" fillId="2" borderId="10" xfId="0" applyNumberFormat="1" applyFont="1" applyFill="1" applyBorder="1" applyAlignment="1" applyProtection="1">
      <alignment horizontal="center" vertical="center"/>
      <protection hidden="1"/>
    </xf>
    <xf numFmtId="167" fontId="12" fillId="2" borderId="11" xfId="0" applyNumberFormat="1" applyFont="1" applyFill="1" applyBorder="1" applyAlignment="1" applyProtection="1">
      <alignment horizontal="center" vertical="center"/>
      <protection hidden="1"/>
    </xf>
    <xf numFmtId="167" fontId="14" fillId="2" borderId="0" xfId="0" applyNumberFormat="1" applyFont="1" applyFill="1" applyAlignment="1">
      <alignment horizontal="center" vertical="center"/>
    </xf>
    <xf numFmtId="167" fontId="11" fillId="2" borderId="8" xfId="0" applyNumberFormat="1" applyFont="1" applyFill="1" applyBorder="1" applyAlignment="1">
      <alignment horizontal="center" vertical="center"/>
    </xf>
    <xf numFmtId="167" fontId="12" fillId="2" borderId="9" xfId="0" applyNumberFormat="1" applyFont="1" applyFill="1" applyBorder="1" applyAlignment="1">
      <alignment horizontal="center" vertical="center"/>
    </xf>
    <xf numFmtId="167" fontId="11" fillId="2" borderId="11" xfId="0" applyNumberFormat="1" applyFont="1" applyFill="1" applyBorder="1" applyAlignment="1">
      <alignment horizontal="center" vertical="center"/>
    </xf>
    <xf numFmtId="167" fontId="9" fillId="2" borderId="11" xfId="0" applyNumberFormat="1" applyFont="1" applyFill="1" applyBorder="1" applyAlignment="1">
      <alignment horizontal="center" vertical="center"/>
    </xf>
    <xf numFmtId="7" fontId="2" fillId="2" borderId="0" xfId="0" applyNumberFormat="1" applyFont="1" applyFill="1" applyAlignment="1">
      <alignment horizontal="center" vertical="center"/>
    </xf>
    <xf numFmtId="49" fontId="12" fillId="2" borderId="10" xfId="0" applyNumberFormat="1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7" fontId="12" fillId="3" borderId="0" xfId="0" applyNumberFormat="1" applyFont="1" applyFill="1" applyAlignment="1">
      <alignment horizontal="center" vertical="center"/>
    </xf>
    <xf numFmtId="7" fontId="12" fillId="3" borderId="10" xfId="0" applyNumberFormat="1" applyFont="1" applyFill="1" applyBorder="1" applyAlignment="1" applyProtection="1">
      <alignment horizontal="right" vertical="center"/>
      <protection hidden="1"/>
    </xf>
    <xf numFmtId="7" fontId="12" fillId="3" borderId="10" xfId="0" applyNumberFormat="1" applyFont="1" applyFill="1" applyBorder="1" applyAlignment="1">
      <alignment horizontal="center" vertical="center"/>
    </xf>
    <xf numFmtId="7" fontId="12" fillId="3" borderId="0" xfId="0" applyNumberFormat="1" applyFont="1" applyFill="1" applyAlignment="1" applyProtection="1">
      <alignment horizontal="right" vertical="center"/>
      <protection hidden="1"/>
    </xf>
    <xf numFmtId="7" fontId="12" fillId="3" borderId="11" xfId="0" applyNumberFormat="1" applyFont="1" applyFill="1" applyBorder="1" applyAlignment="1" applyProtection="1">
      <alignment horizontal="right" vertical="center"/>
      <protection hidden="1"/>
    </xf>
    <xf numFmtId="7" fontId="12" fillId="3" borderId="11" xfId="0" applyNumberFormat="1" applyFont="1" applyFill="1" applyBorder="1" applyAlignment="1">
      <alignment horizontal="center" vertical="center"/>
    </xf>
    <xf numFmtId="7" fontId="12" fillId="3" borderId="12" xfId="0" applyNumberFormat="1" applyFont="1" applyFill="1" applyBorder="1" applyAlignment="1" applyProtection="1">
      <alignment horizontal="right" vertical="center"/>
      <protection hidden="1"/>
    </xf>
    <xf numFmtId="7" fontId="12" fillId="3" borderId="1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12" fillId="0" borderId="0" xfId="0" applyNumberFormat="1" applyFont="1" applyAlignment="1" applyProtection="1">
      <alignment horizontal="left" vertical="center"/>
      <protection locked="0"/>
    </xf>
    <xf numFmtId="0" fontId="11" fillId="2" borderId="11" xfId="0" applyFont="1" applyFill="1" applyBorder="1" applyAlignment="1">
      <alignment horizontal="center" vertical="center"/>
    </xf>
    <xf numFmtId="164" fontId="8" fillId="3" borderId="16" xfId="0" quotePrefix="1" applyNumberFormat="1" applyFont="1" applyFill="1" applyBorder="1" applyAlignment="1" applyProtection="1">
      <alignment horizontal="center" vertical="center"/>
      <protection hidden="1"/>
    </xf>
    <xf numFmtId="0" fontId="12" fillId="2" borderId="0" xfId="0" quotePrefix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1" xfId="0" quotePrefix="1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left" vertical="center"/>
    </xf>
    <xf numFmtId="9" fontId="13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7" fontId="13" fillId="2" borderId="0" xfId="0" applyNumberFormat="1" applyFont="1" applyFill="1" applyAlignment="1">
      <alignment horizontal="center" vertical="center"/>
    </xf>
    <xf numFmtId="0" fontId="12" fillId="2" borderId="10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2" fillId="2" borderId="12" xfId="0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quotePrefix="1" applyFont="1" applyFill="1" applyBorder="1" applyAlignment="1">
      <alignment horizontal="left" vertical="center"/>
    </xf>
    <xf numFmtId="0" fontId="13" fillId="2" borderId="0" xfId="0" quotePrefix="1" applyFont="1" applyFill="1" applyAlignment="1">
      <alignment horizontal="left" vertical="center"/>
    </xf>
    <xf numFmtId="0" fontId="13" fillId="2" borderId="11" xfId="0" quotePrefix="1" applyFont="1" applyFill="1" applyBorder="1" applyAlignment="1">
      <alignment horizontal="left" vertical="center"/>
    </xf>
    <xf numFmtId="0" fontId="0" fillId="3" borderId="8" xfId="0" applyFill="1" applyBorder="1"/>
    <xf numFmtId="0" fontId="16" fillId="2" borderId="10" xfId="0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horizontal="left" vertical="center"/>
      <protection locked="0"/>
    </xf>
    <xf numFmtId="0" fontId="17" fillId="2" borderId="9" xfId="0" applyFont="1" applyFill="1" applyBorder="1" applyAlignment="1">
      <alignment horizontal="left" vertical="center"/>
    </xf>
    <xf numFmtId="0" fontId="12" fillId="2" borderId="11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 applyProtection="1">
      <alignment horizontal="left" vertical="center"/>
      <protection locked="0"/>
    </xf>
    <xf numFmtId="43" fontId="13" fillId="2" borderId="0" xfId="1" applyFont="1" applyFill="1" applyBorder="1" applyAlignment="1">
      <alignment horizontal="left" vertical="center"/>
    </xf>
    <xf numFmtId="43" fontId="13" fillId="2" borderId="11" xfId="1" applyFont="1" applyFill="1" applyBorder="1" applyAlignment="1">
      <alignment horizontal="left" vertical="center"/>
    </xf>
    <xf numFmtId="0" fontId="12" fillId="2" borderId="10" xfId="0" applyFont="1" applyFill="1" applyBorder="1" applyAlignment="1" applyProtection="1">
      <alignment horizontal="left" vertical="center"/>
      <protection locked="0"/>
    </xf>
    <xf numFmtId="0" fontId="13" fillId="2" borderId="8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center"/>
    </xf>
    <xf numFmtId="0" fontId="12" fillId="3" borderId="10" xfId="0" quotePrefix="1" applyFont="1" applyFill="1" applyBorder="1" applyAlignment="1" applyProtection="1">
      <alignment horizontal="left" vertical="center"/>
      <protection hidden="1"/>
    </xf>
    <xf numFmtId="0" fontId="13" fillId="3" borderId="0" xfId="0" applyFont="1" applyFill="1" applyAlignment="1">
      <alignment horizontal="left" vertical="center"/>
    </xf>
    <xf numFmtId="0" fontId="12" fillId="3" borderId="0" xfId="0" quotePrefix="1" applyFont="1" applyFill="1" applyAlignment="1" applyProtection="1">
      <alignment horizontal="left" vertical="center"/>
      <protection hidden="1"/>
    </xf>
    <xf numFmtId="0" fontId="12" fillId="0" borderId="0" xfId="0" quotePrefix="1" applyFont="1" applyAlignment="1" applyProtection="1">
      <alignment horizontal="left" vertical="center"/>
      <protection hidden="1"/>
    </xf>
    <xf numFmtId="0" fontId="13" fillId="2" borderId="15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3" fillId="3" borderId="0" xfId="0" quotePrefix="1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3" fillId="0" borderId="10" xfId="0" quotePrefix="1" applyFont="1" applyBorder="1" applyAlignment="1">
      <alignment horizontal="left" vertical="center"/>
    </xf>
    <xf numFmtId="0" fontId="13" fillId="0" borderId="11" xfId="0" quotePrefix="1" applyFont="1" applyBorder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15" fillId="2" borderId="0" xfId="0" applyFont="1" applyFill="1"/>
    <xf numFmtId="0" fontId="15" fillId="2" borderId="8" xfId="0" applyFont="1" applyFill="1" applyBorder="1"/>
    <xf numFmtId="0" fontId="12" fillId="2" borderId="9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165" fontId="8" fillId="3" borderId="6" xfId="0" applyNumberFormat="1" applyFont="1" applyFill="1" applyBorder="1" applyAlignment="1" applyProtection="1">
      <alignment horizontal="center" vertical="center" wrapText="1"/>
      <protection hidden="1"/>
    </xf>
    <xf numFmtId="165" fontId="8" fillId="3" borderId="6" xfId="0" applyNumberFormat="1" applyFont="1" applyFill="1" applyBorder="1" applyAlignment="1" applyProtection="1">
      <alignment horizontal="left" vertical="center" wrapText="1"/>
      <protection hidden="1"/>
    </xf>
    <xf numFmtId="167" fontId="21" fillId="2" borderId="11" xfId="0" applyNumberFormat="1" applyFont="1" applyFill="1" applyBorder="1" applyAlignment="1" applyProtection="1">
      <alignment horizontal="center" vertical="center"/>
      <protection hidden="1"/>
    </xf>
    <xf numFmtId="0" fontId="12" fillId="2" borderId="10" xfId="0" applyFont="1" applyFill="1" applyBorder="1" applyAlignment="1">
      <alignment horizontal="center" vertical="center"/>
    </xf>
    <xf numFmtId="7" fontId="8" fillId="2" borderId="0" xfId="0" applyNumberFormat="1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left" vertical="center"/>
    </xf>
    <xf numFmtId="43" fontId="12" fillId="2" borderId="0" xfId="1" applyFont="1" applyFill="1" applyBorder="1" applyAlignment="1">
      <alignment horizontal="left" vertical="center"/>
    </xf>
    <xf numFmtId="43" fontId="22" fillId="2" borderId="11" xfId="1" applyFont="1" applyFill="1" applyBorder="1" applyAlignment="1">
      <alignment horizontal="left" vertical="center"/>
    </xf>
    <xf numFmtId="0" fontId="22" fillId="2" borderId="9" xfId="0" applyFont="1" applyFill="1" applyBorder="1" applyAlignment="1">
      <alignment horizontal="left" vertical="center"/>
    </xf>
    <xf numFmtId="166" fontId="22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7" fontId="3" fillId="2" borderId="0" xfId="0" applyNumberFormat="1" applyFont="1" applyFill="1" applyAlignment="1">
      <alignment horizontal="center" vertical="center"/>
    </xf>
    <xf numFmtId="7" fontId="12" fillId="3" borderId="0" xfId="0" applyNumberFormat="1" applyFont="1" applyFill="1" applyAlignment="1">
      <alignment vertical="center"/>
    </xf>
    <xf numFmtId="7" fontId="12" fillId="3" borderId="11" xfId="0" applyNumberFormat="1" applyFont="1" applyFill="1" applyBorder="1" applyAlignment="1">
      <alignment vertical="center"/>
    </xf>
    <xf numFmtId="7" fontId="12" fillId="3" borderId="10" xfId="0" applyNumberFormat="1" applyFont="1" applyFill="1" applyBorder="1" applyAlignment="1">
      <alignment vertical="center"/>
    </xf>
    <xf numFmtId="7" fontId="12" fillId="3" borderId="12" xfId="0" applyNumberFormat="1" applyFont="1" applyFill="1" applyBorder="1" applyAlignment="1">
      <alignment vertical="center"/>
    </xf>
    <xf numFmtId="7" fontId="12" fillId="2" borderId="0" xfId="0" applyNumberFormat="1" applyFont="1" applyFill="1" applyAlignment="1">
      <alignment vertical="center"/>
    </xf>
    <xf numFmtId="7" fontId="12" fillId="3" borderId="0" xfId="0" applyNumberFormat="1" applyFont="1" applyFill="1" applyAlignment="1" applyProtection="1">
      <alignment vertical="center"/>
      <protection hidden="1"/>
    </xf>
    <xf numFmtId="7" fontId="12" fillId="3" borderId="11" xfId="0" applyNumberFormat="1" applyFont="1" applyFill="1" applyBorder="1" applyAlignment="1" applyProtection="1">
      <alignment vertical="center"/>
      <protection hidden="1"/>
    </xf>
    <xf numFmtId="7" fontId="12" fillId="3" borderId="10" xfId="0" applyNumberFormat="1" applyFont="1" applyFill="1" applyBorder="1" applyAlignment="1" applyProtection="1">
      <alignment vertical="center"/>
      <protection hidden="1"/>
    </xf>
    <xf numFmtId="7" fontId="12" fillId="3" borderId="12" xfId="0" applyNumberFormat="1" applyFont="1" applyFill="1" applyBorder="1" applyAlignment="1" applyProtection="1">
      <alignment vertical="center"/>
      <protection hidden="1"/>
    </xf>
    <xf numFmtId="7" fontId="6" fillId="2" borderId="6" xfId="0" applyNumberFormat="1" applyFont="1" applyFill="1" applyBorder="1" applyAlignment="1">
      <alignment horizontal="right" vertical="center"/>
    </xf>
    <xf numFmtId="7" fontId="8" fillId="3" borderId="6" xfId="0" quotePrefix="1" applyNumberFormat="1" applyFont="1" applyFill="1" applyBorder="1" applyAlignment="1" applyProtection="1">
      <alignment horizontal="center" vertical="center" wrapText="1"/>
      <protection hidden="1"/>
    </xf>
    <xf numFmtId="7" fontId="11" fillId="2" borderId="8" xfId="0" applyNumberFormat="1" applyFont="1" applyFill="1" applyBorder="1" applyAlignment="1">
      <alignment horizontal="right" vertical="center"/>
    </xf>
    <xf numFmtId="7" fontId="11" fillId="2" borderId="11" xfId="0" applyNumberFormat="1" applyFont="1" applyFill="1" applyBorder="1" applyAlignment="1">
      <alignment horizontal="right" vertical="center"/>
    </xf>
    <xf numFmtId="7" fontId="12" fillId="2" borderId="0" xfId="0" applyNumberFormat="1" applyFont="1" applyFill="1" applyAlignment="1">
      <alignment horizontal="right" vertical="center"/>
    </xf>
    <xf numFmtId="7" fontId="11" fillId="2" borderId="0" xfId="0" applyNumberFormat="1" applyFont="1" applyFill="1" applyAlignment="1">
      <alignment horizontal="right" vertical="center"/>
    </xf>
    <xf numFmtId="7" fontId="14" fillId="2" borderId="0" xfId="0" applyNumberFormat="1" applyFont="1" applyFill="1" applyAlignment="1">
      <alignment horizontal="center" vertical="center"/>
    </xf>
    <xf numFmtId="7" fontId="14" fillId="2" borderId="0" xfId="0" applyNumberFormat="1" applyFont="1" applyFill="1" applyAlignment="1">
      <alignment horizontal="right" vertical="center"/>
    </xf>
    <xf numFmtId="7" fontId="4" fillId="2" borderId="0" xfId="0" quotePrefix="1" applyNumberFormat="1" applyFont="1" applyFill="1" applyAlignment="1">
      <alignment horizontal="right" vertical="center"/>
    </xf>
    <xf numFmtId="7" fontId="4" fillId="2" borderId="5" xfId="0" quotePrefix="1" applyNumberFormat="1" applyFont="1" applyFill="1" applyBorder="1" applyAlignment="1">
      <alignment horizontal="right" vertical="center"/>
    </xf>
    <xf numFmtId="7" fontId="16" fillId="2" borderId="6" xfId="0" applyNumberFormat="1" applyFont="1" applyFill="1" applyBorder="1" applyAlignment="1">
      <alignment horizontal="right" vertical="center"/>
    </xf>
    <xf numFmtId="7" fontId="6" fillId="2" borderId="6" xfId="0" applyNumberFormat="1" applyFont="1" applyFill="1" applyBorder="1" applyAlignment="1">
      <alignment horizontal="center" vertical="center"/>
    </xf>
    <xf numFmtId="7" fontId="7" fillId="2" borderId="7" xfId="0" applyNumberFormat="1" applyFont="1" applyFill="1" applyBorder="1" applyAlignment="1">
      <alignment horizontal="right" vertical="center"/>
    </xf>
    <xf numFmtId="7" fontId="8" fillId="3" borderId="7" xfId="0" quotePrefix="1" applyNumberFormat="1" applyFont="1" applyFill="1" applyBorder="1" applyAlignment="1" applyProtection="1">
      <alignment horizontal="center" vertical="center" wrapText="1"/>
      <protection hidden="1"/>
    </xf>
    <xf numFmtId="7" fontId="8" fillId="3" borderId="0" xfId="0" quotePrefix="1" applyNumberFormat="1" applyFont="1" applyFill="1" applyAlignment="1" applyProtection="1">
      <alignment horizontal="center" vertical="center" wrapText="1"/>
      <protection hidden="1"/>
    </xf>
    <xf numFmtId="7" fontId="8" fillId="3" borderId="14" xfId="0" quotePrefix="1" applyNumberFormat="1" applyFont="1" applyFill="1" applyBorder="1" applyAlignment="1" applyProtection="1">
      <alignment horizontal="center" vertical="center" wrapText="1"/>
      <protection hidden="1"/>
    </xf>
    <xf numFmtId="7" fontId="20" fillId="2" borderId="0" xfId="0" applyNumberFormat="1" applyFont="1" applyFill="1" applyAlignment="1">
      <alignment horizontal="center" vertical="center"/>
    </xf>
    <xf numFmtId="7" fontId="12" fillId="2" borderId="8" xfId="0" applyNumberFormat="1" applyFont="1" applyFill="1" applyBorder="1" applyAlignment="1">
      <alignment horizontal="center" vertical="center"/>
    </xf>
    <xf numFmtId="7" fontId="11" fillId="2" borderId="11" xfId="0" applyNumberFormat="1" applyFont="1" applyFill="1" applyBorder="1" applyAlignment="1">
      <alignment vertical="center"/>
    </xf>
    <xf numFmtId="7" fontId="11" fillId="2" borderId="8" xfId="0" applyNumberFormat="1" applyFont="1" applyFill="1" applyBorder="1" applyAlignment="1">
      <alignment vertical="center"/>
    </xf>
    <xf numFmtId="7" fontId="12" fillId="2" borderId="8" xfId="0" applyNumberFormat="1" applyFont="1" applyFill="1" applyBorder="1" applyAlignment="1">
      <alignment vertical="center"/>
    </xf>
    <xf numFmtId="7" fontId="11" fillId="2" borderId="0" xfId="0" applyNumberFormat="1" applyFont="1" applyFill="1" applyAlignment="1">
      <alignment vertical="center"/>
    </xf>
    <xf numFmtId="7" fontId="20" fillId="2" borderId="11" xfId="0" applyNumberFormat="1" applyFont="1" applyFill="1" applyBorder="1" applyAlignment="1">
      <alignment horizontal="center" vertical="center"/>
    </xf>
    <xf numFmtId="7" fontId="11" fillId="2" borderId="9" xfId="0" applyNumberFormat="1" applyFont="1" applyFill="1" applyBorder="1" applyAlignment="1">
      <alignment vertical="center"/>
    </xf>
    <xf numFmtId="7" fontId="11" fillId="2" borderId="0" xfId="1" applyNumberFormat="1" applyFont="1" applyFill="1" applyBorder="1" applyAlignment="1">
      <alignment vertical="center"/>
    </xf>
    <xf numFmtId="7" fontId="11" fillId="2" borderId="11" xfId="1" applyNumberFormat="1" applyFont="1" applyFill="1" applyBorder="1" applyAlignment="1">
      <alignment vertical="center"/>
    </xf>
    <xf numFmtId="7" fontId="12" fillId="2" borderId="11" xfId="0" applyNumberFormat="1" applyFont="1" applyFill="1" applyBorder="1" applyAlignment="1">
      <alignment vertical="center"/>
    </xf>
    <xf numFmtId="7" fontId="14" fillId="2" borderId="0" xfId="0" applyNumberFormat="1" applyFont="1" applyFill="1" applyAlignment="1">
      <alignment vertical="center"/>
    </xf>
    <xf numFmtId="7" fontId="9" fillId="2" borderId="0" xfId="0" applyNumberFormat="1" applyFont="1" applyFill="1" applyAlignment="1">
      <alignment vertical="center"/>
    </xf>
    <xf numFmtId="7" fontId="9" fillId="2" borderId="11" xfId="0" applyNumberFormat="1" applyFont="1" applyFill="1" applyBorder="1" applyAlignment="1">
      <alignment vertical="center"/>
    </xf>
    <xf numFmtId="49" fontId="10" fillId="2" borderId="11" xfId="1" quotePrefix="1" applyNumberFormat="1" applyFont="1" applyFill="1" applyBorder="1" applyAlignment="1">
      <alignment horizontal="left" vertical="center"/>
    </xf>
    <xf numFmtId="0" fontId="12" fillId="3" borderId="11" xfId="0" quotePrefix="1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>
      <alignment vertical="center"/>
    </xf>
    <xf numFmtId="7" fontId="12" fillId="2" borderId="10" xfId="0" applyNumberFormat="1" applyFont="1" applyFill="1" applyBorder="1" applyAlignment="1">
      <alignment vertical="center"/>
    </xf>
    <xf numFmtId="7" fontId="12" fillId="2" borderId="12" xfId="0" applyNumberFormat="1" applyFont="1" applyFill="1" applyBorder="1" applyAlignment="1">
      <alignment vertical="center"/>
    </xf>
    <xf numFmtId="44" fontId="12" fillId="0" borderId="0" xfId="2" applyFont="1" applyFill="1" applyAlignment="1">
      <alignment vertical="center"/>
    </xf>
    <xf numFmtId="167" fontId="12" fillId="0" borderId="0" xfId="0" applyNumberFormat="1" applyFont="1" applyAlignment="1" applyProtection="1">
      <alignment horizontal="center" vertical="center"/>
      <protection hidden="1"/>
    </xf>
    <xf numFmtId="7" fontId="12" fillId="0" borderId="0" xfId="0" applyNumberFormat="1" applyFont="1" applyAlignment="1" applyProtection="1">
      <alignment vertical="center"/>
      <protection hidden="1"/>
    </xf>
    <xf numFmtId="7" fontId="20" fillId="0" borderId="0" xfId="0" applyNumberFormat="1" applyFont="1" applyAlignment="1">
      <alignment horizontal="center" vertical="center"/>
    </xf>
    <xf numFmtId="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49" fontId="12" fillId="0" borderId="11" xfId="0" applyNumberFormat="1" applyFont="1" applyBorder="1" applyAlignment="1" applyProtection="1">
      <alignment horizontal="left" vertical="center"/>
      <protection locked="0"/>
    </xf>
    <xf numFmtId="0" fontId="12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7" fontId="12" fillId="0" borderId="11" xfId="0" applyNumberFormat="1" applyFont="1" applyBorder="1" applyAlignment="1">
      <alignment vertical="center"/>
    </xf>
    <xf numFmtId="167" fontId="12" fillId="0" borderId="11" xfId="0" applyNumberFormat="1" applyFont="1" applyBorder="1" applyAlignment="1" applyProtection="1">
      <alignment horizontal="center" vertical="center"/>
      <protection hidden="1"/>
    </xf>
    <xf numFmtId="7" fontId="12" fillId="0" borderId="11" xfId="0" applyNumberFormat="1" applyFont="1" applyBorder="1" applyAlignment="1" applyProtection="1">
      <alignment vertical="center"/>
      <protection hidden="1"/>
    </xf>
    <xf numFmtId="9" fontId="12" fillId="0" borderId="11" xfId="0" applyNumberFormat="1" applyFont="1" applyBorder="1" applyAlignment="1">
      <alignment horizontal="center" vertical="center"/>
    </xf>
    <xf numFmtId="7" fontId="2" fillId="2" borderId="1" xfId="0" applyNumberFormat="1" applyFont="1" applyFill="1" applyBorder="1" applyAlignment="1">
      <alignment horizontal="center" vertical="center"/>
    </xf>
    <xf numFmtId="7" fontId="2" fillId="2" borderId="2" xfId="0" applyNumberFormat="1" applyFont="1" applyFill="1" applyBorder="1" applyAlignment="1">
      <alignment horizontal="center" vertical="center"/>
    </xf>
    <xf numFmtId="7" fontId="2" fillId="2" borderId="3" xfId="0" applyNumberFormat="1" applyFont="1" applyFill="1" applyBorder="1" applyAlignment="1">
      <alignment horizontal="center" vertical="center"/>
    </xf>
    <xf numFmtId="7" fontId="2" fillId="2" borderId="4" xfId="0" quotePrefix="1" applyNumberFormat="1" applyFont="1" applyFill="1" applyBorder="1" applyAlignment="1">
      <alignment horizontal="center" vertical="center"/>
    </xf>
    <xf numFmtId="7" fontId="2" fillId="2" borderId="0" xfId="0" quotePrefix="1" applyNumberFormat="1" applyFont="1" applyFill="1" applyAlignment="1">
      <alignment horizontal="center" vertical="center"/>
    </xf>
    <xf numFmtId="7" fontId="2" fillId="2" borderId="5" xfId="0" quotePrefix="1" applyNumberFormat="1" applyFont="1" applyFill="1" applyBorder="1" applyAlignment="1">
      <alignment horizontal="center" vertical="center"/>
    </xf>
    <xf numFmtId="7" fontId="3" fillId="2" borderId="4" xfId="0" applyNumberFormat="1" applyFont="1" applyFill="1" applyBorder="1" applyAlignment="1">
      <alignment horizontal="center" vertical="center"/>
    </xf>
    <xf numFmtId="7" fontId="3" fillId="2" borderId="0" xfId="0" applyNumberFormat="1" applyFont="1" applyFill="1" applyAlignment="1">
      <alignment horizontal="center" vertical="center"/>
    </xf>
    <xf numFmtId="7" fontId="3" fillId="2" borderId="5" xfId="0" applyNumberFormat="1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3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7"/>
  <sheetViews>
    <sheetView showGridLines="0" tabSelected="1" zoomScale="80" zoomScaleNormal="100" zoomScaleSheetLayoutView="100" workbookViewId="0">
      <selection sqref="A1:H1"/>
    </sheetView>
  </sheetViews>
  <sheetFormatPr baseColWidth="10" defaultColWidth="9.1640625" defaultRowHeight="18" x14ac:dyDescent="0.2"/>
  <cols>
    <col min="1" max="1" width="14.5" style="39" customWidth="1"/>
    <col min="2" max="2" width="32.33203125" style="145" customWidth="1"/>
    <col min="3" max="3" width="61.1640625" style="34" customWidth="1"/>
    <col min="4" max="4" width="12.5" style="164" customWidth="1"/>
    <col min="5" max="5" width="10.1640625" style="34" customWidth="1"/>
    <col min="6" max="6" width="12.5" style="164" customWidth="1"/>
    <col min="7" max="7" width="2.5" style="163" customWidth="1"/>
    <col min="8" max="8" width="12.5" style="163" customWidth="1"/>
    <col min="9" max="9" width="4.5" style="34" customWidth="1"/>
    <col min="10" max="10" width="14.5" style="34" bestFit="1" customWidth="1"/>
  </cols>
  <sheetData>
    <row r="1" spans="1:10" ht="20" x14ac:dyDescent="0.2">
      <c r="A1" s="206" t="s">
        <v>356</v>
      </c>
      <c r="B1" s="207"/>
      <c r="C1" s="207"/>
      <c r="D1" s="207"/>
      <c r="E1" s="207"/>
      <c r="F1" s="207"/>
      <c r="G1" s="207"/>
      <c r="H1" s="208"/>
      <c r="I1" s="76"/>
      <c r="J1" s="2"/>
    </row>
    <row r="2" spans="1:10" ht="20" x14ac:dyDescent="0.2">
      <c r="A2" s="209" t="s">
        <v>0</v>
      </c>
      <c r="B2" s="210"/>
      <c r="C2" s="210"/>
      <c r="D2" s="210"/>
      <c r="E2" s="210"/>
      <c r="F2" s="210"/>
      <c r="G2" s="210"/>
      <c r="H2" s="211"/>
      <c r="I2" s="76"/>
      <c r="J2" s="2"/>
    </row>
    <row r="3" spans="1:10" x14ac:dyDescent="0.2">
      <c r="A3" s="212" t="s">
        <v>1</v>
      </c>
      <c r="B3" s="213"/>
      <c r="C3" s="213"/>
      <c r="D3" s="213"/>
      <c r="E3" s="213"/>
      <c r="F3" s="213"/>
      <c r="G3" s="213"/>
      <c r="H3" s="214"/>
      <c r="I3" s="76"/>
      <c r="J3" s="2"/>
    </row>
    <row r="4" spans="1:10" ht="15" customHeight="1" x14ac:dyDescent="0.2">
      <c r="A4" s="1"/>
      <c r="B4" s="132"/>
      <c r="C4" s="63"/>
      <c r="D4" s="63"/>
      <c r="E4" s="63"/>
      <c r="F4" s="165"/>
      <c r="G4" s="147"/>
      <c r="H4" s="166" t="s">
        <v>436</v>
      </c>
      <c r="I4" s="76"/>
      <c r="J4" s="2"/>
    </row>
    <row r="5" spans="1:10" ht="15" customHeight="1" thickBot="1" x14ac:dyDescent="0.25">
      <c r="A5" s="43"/>
      <c r="B5" s="133"/>
      <c r="C5" s="3"/>
      <c r="D5" s="157"/>
      <c r="E5" s="3"/>
      <c r="F5" s="167"/>
      <c r="G5" s="168"/>
      <c r="H5" s="169" t="s">
        <v>2</v>
      </c>
      <c r="I5" s="77"/>
      <c r="J5" s="3"/>
    </row>
    <row r="6" spans="1:10" ht="31" thickBot="1" x14ac:dyDescent="0.25">
      <c r="A6" s="40" t="s">
        <v>3</v>
      </c>
      <c r="B6" s="128" t="s">
        <v>4</v>
      </c>
      <c r="C6" s="129" t="s">
        <v>5</v>
      </c>
      <c r="D6" s="158" t="s">
        <v>6</v>
      </c>
      <c r="E6" s="41" t="s">
        <v>7</v>
      </c>
      <c r="F6" s="170" t="s">
        <v>8</v>
      </c>
      <c r="G6" s="171"/>
      <c r="H6" s="172" t="s">
        <v>9</v>
      </c>
      <c r="I6" s="80"/>
      <c r="J6" s="42" t="s">
        <v>10</v>
      </c>
    </row>
    <row r="7" spans="1:10" ht="15" customHeight="1" thickBot="1" x14ac:dyDescent="0.25">
      <c r="A7" s="4" t="s">
        <v>11</v>
      </c>
      <c r="B7" s="134"/>
      <c r="C7" s="5"/>
      <c r="D7" s="159"/>
      <c r="E7" s="6"/>
      <c r="F7" s="159"/>
      <c r="G7" s="6"/>
      <c r="H7" s="6"/>
      <c r="I7" s="5"/>
      <c r="J7" s="5"/>
    </row>
    <row r="8" spans="1:10" ht="15" customHeight="1" thickTop="1" x14ac:dyDescent="0.2">
      <c r="A8" s="15" t="s">
        <v>12</v>
      </c>
      <c r="B8" s="135"/>
      <c r="C8" s="65"/>
      <c r="D8" s="160"/>
      <c r="E8" s="14"/>
      <c r="F8" s="162"/>
      <c r="G8" s="37"/>
      <c r="H8" s="37"/>
      <c r="I8" s="10"/>
      <c r="J8" s="8"/>
    </row>
    <row r="9" spans="1:10" ht="15" customHeight="1" x14ac:dyDescent="0.2">
      <c r="A9" s="9" t="s">
        <v>13</v>
      </c>
      <c r="B9" s="81" t="s">
        <v>14</v>
      </c>
      <c r="C9" s="82"/>
      <c r="D9" s="70">
        <v>425</v>
      </c>
      <c r="E9" s="44">
        <v>0.40300000000000002</v>
      </c>
      <c r="F9" s="69">
        <f>ROUND(D9*(1-E9),2)</f>
        <v>253.73</v>
      </c>
      <c r="G9" s="173"/>
      <c r="H9" s="70">
        <f>ROUND(D9*(1-J9),0)</f>
        <v>383</v>
      </c>
      <c r="I9" s="10"/>
      <c r="J9" s="11">
        <v>0.1</v>
      </c>
    </row>
    <row r="10" spans="1:10" ht="15" customHeight="1" x14ac:dyDescent="0.2">
      <c r="A10" s="9" t="s">
        <v>15</v>
      </c>
      <c r="B10" s="81" t="s">
        <v>16</v>
      </c>
      <c r="C10" s="82"/>
      <c r="D10" s="68">
        <v>496</v>
      </c>
      <c r="E10" s="45">
        <v>0.40300000000000002</v>
      </c>
      <c r="F10" s="71">
        <f>ROUND(D10*(1-E10),2)</f>
        <v>296.11</v>
      </c>
      <c r="G10" s="173"/>
      <c r="H10" s="68">
        <f>ROUND(D10*(1-J10),0)</f>
        <v>446</v>
      </c>
      <c r="I10" s="10"/>
      <c r="J10" s="38">
        <v>0.1</v>
      </c>
    </row>
    <row r="11" spans="1:10" ht="15" customHeight="1" x14ac:dyDescent="0.2">
      <c r="A11" s="9" t="s">
        <v>17</v>
      </c>
      <c r="B11" s="81" t="s">
        <v>18</v>
      </c>
      <c r="C11" s="82"/>
      <c r="D11" s="68">
        <v>538</v>
      </c>
      <c r="E11" s="45">
        <v>0.40300000000000002</v>
      </c>
      <c r="F11" s="71">
        <f t="shared" ref="F11:F19" si="0">ROUND(D11*(1-E11),2)</f>
        <v>321.19</v>
      </c>
      <c r="G11" s="173"/>
      <c r="H11" s="68">
        <f t="shared" ref="H11:H19" si="1">ROUND(D11*(1-J11),0)</f>
        <v>484</v>
      </c>
      <c r="I11" s="10"/>
      <c r="J11" s="38">
        <v>0.1</v>
      </c>
    </row>
    <row r="12" spans="1:10" ht="15" customHeight="1" x14ac:dyDescent="0.2">
      <c r="A12" s="9" t="s">
        <v>19</v>
      </c>
      <c r="B12" s="81" t="s">
        <v>20</v>
      </c>
      <c r="C12" s="82"/>
      <c r="D12" s="68">
        <v>722</v>
      </c>
      <c r="E12" s="45">
        <v>0.40300000000000002</v>
      </c>
      <c r="F12" s="71">
        <f t="shared" si="0"/>
        <v>431.03</v>
      </c>
      <c r="G12" s="173"/>
      <c r="H12" s="68">
        <f t="shared" si="1"/>
        <v>650</v>
      </c>
      <c r="I12" s="10"/>
      <c r="J12" s="38">
        <v>0.1</v>
      </c>
    </row>
    <row r="13" spans="1:10" ht="15" customHeight="1" x14ac:dyDescent="0.2">
      <c r="A13" s="9" t="s">
        <v>21</v>
      </c>
      <c r="B13" s="81" t="s">
        <v>348</v>
      </c>
      <c r="C13" s="82"/>
      <c r="D13" s="68">
        <v>603</v>
      </c>
      <c r="E13" s="45">
        <v>0.40300000000000002</v>
      </c>
      <c r="F13" s="71">
        <f t="shared" si="0"/>
        <v>359.99</v>
      </c>
      <c r="G13" s="173"/>
      <c r="H13" s="68">
        <f t="shared" si="1"/>
        <v>543</v>
      </c>
      <c r="I13" s="10"/>
      <c r="J13" s="38">
        <v>0.1</v>
      </c>
    </row>
    <row r="14" spans="1:10" ht="15" customHeight="1" x14ac:dyDescent="0.2">
      <c r="A14" s="9" t="s">
        <v>22</v>
      </c>
      <c r="B14" s="81" t="s">
        <v>23</v>
      </c>
      <c r="C14" s="82"/>
      <c r="D14" s="68">
        <v>603</v>
      </c>
      <c r="E14" s="45">
        <v>0.40300000000000002</v>
      </c>
      <c r="F14" s="71">
        <f t="shared" si="0"/>
        <v>359.99</v>
      </c>
      <c r="G14" s="173"/>
      <c r="H14" s="68">
        <f t="shared" si="1"/>
        <v>543</v>
      </c>
      <c r="I14" s="10"/>
      <c r="J14" s="38">
        <v>0.1</v>
      </c>
    </row>
    <row r="15" spans="1:10" ht="15" customHeight="1" x14ac:dyDescent="0.2">
      <c r="A15" s="9" t="s">
        <v>24</v>
      </c>
      <c r="B15" s="81" t="s">
        <v>25</v>
      </c>
      <c r="C15" s="82"/>
      <c r="D15" s="68">
        <v>722</v>
      </c>
      <c r="E15" s="45">
        <v>0.40300000000000002</v>
      </c>
      <c r="F15" s="71">
        <f t="shared" si="0"/>
        <v>431.03</v>
      </c>
      <c r="G15" s="173"/>
      <c r="H15" s="68">
        <f t="shared" si="1"/>
        <v>650</v>
      </c>
      <c r="I15" s="10"/>
      <c r="J15" s="38">
        <v>0.1</v>
      </c>
    </row>
    <row r="16" spans="1:10" ht="15" customHeight="1" x14ac:dyDescent="0.2">
      <c r="A16" s="9" t="s">
        <v>26</v>
      </c>
      <c r="B16" s="81" t="s">
        <v>349</v>
      </c>
      <c r="C16" s="82"/>
      <c r="D16" s="68">
        <v>603</v>
      </c>
      <c r="E16" s="45">
        <v>0.40300000000000002</v>
      </c>
      <c r="F16" s="71">
        <f t="shared" si="0"/>
        <v>359.99</v>
      </c>
      <c r="G16" s="173"/>
      <c r="H16" s="68">
        <f t="shared" si="1"/>
        <v>543</v>
      </c>
      <c r="I16" s="10"/>
      <c r="J16" s="38">
        <v>0.1</v>
      </c>
    </row>
    <row r="17" spans="1:10" ht="15" customHeight="1" x14ac:dyDescent="0.2">
      <c r="A17" s="9" t="s">
        <v>27</v>
      </c>
      <c r="B17" s="81" t="s">
        <v>350</v>
      </c>
      <c r="C17" s="82"/>
      <c r="D17" s="68">
        <v>722</v>
      </c>
      <c r="E17" s="45">
        <v>0.40300000000000002</v>
      </c>
      <c r="F17" s="71">
        <f t="shared" si="0"/>
        <v>431.03</v>
      </c>
      <c r="G17" s="173"/>
      <c r="H17" s="68">
        <f t="shared" si="1"/>
        <v>650</v>
      </c>
      <c r="I17" s="10"/>
      <c r="J17" s="38">
        <v>0.1</v>
      </c>
    </row>
    <row r="18" spans="1:10" ht="15" customHeight="1" x14ac:dyDescent="0.2">
      <c r="A18" s="9" t="s">
        <v>28</v>
      </c>
      <c r="B18" s="81" t="s">
        <v>351</v>
      </c>
      <c r="C18" s="82"/>
      <c r="D18" s="68">
        <v>891</v>
      </c>
      <c r="E18" s="45">
        <v>0.40300000000000002</v>
      </c>
      <c r="F18" s="71">
        <f t="shared" si="0"/>
        <v>531.92999999999995</v>
      </c>
      <c r="G18" s="173"/>
      <c r="H18" s="68">
        <f t="shared" si="1"/>
        <v>802</v>
      </c>
      <c r="I18" s="10"/>
      <c r="J18" s="38">
        <v>0.1</v>
      </c>
    </row>
    <row r="19" spans="1:10" ht="15" customHeight="1" x14ac:dyDescent="0.2">
      <c r="A19" s="22" t="s">
        <v>29</v>
      </c>
      <c r="B19" s="83" t="s">
        <v>352</v>
      </c>
      <c r="C19" s="84"/>
      <c r="D19" s="73">
        <v>991</v>
      </c>
      <c r="E19" s="46">
        <v>0.40300000000000002</v>
      </c>
      <c r="F19" s="72">
        <f t="shared" si="0"/>
        <v>591.63</v>
      </c>
      <c r="G19" s="173"/>
      <c r="H19" s="73">
        <f t="shared" si="1"/>
        <v>892</v>
      </c>
      <c r="I19" s="10"/>
      <c r="J19" s="26">
        <v>0.1</v>
      </c>
    </row>
    <row r="20" spans="1:10" ht="15" customHeight="1" x14ac:dyDescent="0.2">
      <c r="A20" s="38"/>
      <c r="B20" s="38"/>
      <c r="C20" s="85"/>
      <c r="D20" s="37" t="s">
        <v>30</v>
      </c>
      <c r="E20" s="38"/>
      <c r="F20" s="37"/>
      <c r="G20" s="37"/>
      <c r="H20" s="37"/>
      <c r="I20" s="10"/>
      <c r="J20" s="38"/>
    </row>
    <row r="21" spans="1:10" ht="15" customHeight="1" x14ac:dyDescent="0.2">
      <c r="A21" s="15" t="s">
        <v>31</v>
      </c>
      <c r="B21" s="135"/>
      <c r="C21" s="65"/>
      <c r="D21" s="37" t="s">
        <v>30</v>
      </c>
      <c r="E21" s="16" t="s">
        <v>30</v>
      </c>
      <c r="F21" s="160"/>
      <c r="G21" s="37"/>
      <c r="H21" s="37"/>
      <c r="I21" s="10"/>
      <c r="J21" s="79"/>
    </row>
    <row r="22" spans="1:10" ht="15" customHeight="1" x14ac:dyDescent="0.2">
      <c r="A22" s="9" t="s">
        <v>32</v>
      </c>
      <c r="B22" s="86" t="s">
        <v>33</v>
      </c>
      <c r="C22" s="82"/>
      <c r="D22" s="70">
        <v>737</v>
      </c>
      <c r="E22" s="45">
        <v>0.40300000000000002</v>
      </c>
      <c r="F22" s="71">
        <f>ROUND(D22*(1-E22),2)</f>
        <v>439.99</v>
      </c>
      <c r="G22" s="173"/>
      <c r="H22" s="70">
        <f>ROUND(D22*(1-J22),0)</f>
        <v>663</v>
      </c>
      <c r="I22" s="10"/>
      <c r="J22" s="38">
        <v>0.1</v>
      </c>
    </row>
    <row r="23" spans="1:10" ht="15" customHeight="1" x14ac:dyDescent="0.2">
      <c r="A23" s="22" t="s">
        <v>34</v>
      </c>
      <c r="B23" s="87" t="s">
        <v>35</v>
      </c>
      <c r="C23" s="84"/>
      <c r="D23" s="73">
        <v>765</v>
      </c>
      <c r="E23" s="46">
        <v>0.40300000000000002</v>
      </c>
      <c r="F23" s="72">
        <f t="shared" ref="F23" si="2">ROUND(D23*(1-E23),2)</f>
        <v>456.71</v>
      </c>
      <c r="G23" s="173"/>
      <c r="H23" s="73">
        <f t="shared" ref="H23" si="3">ROUND(D23*(1-J23),0)</f>
        <v>689</v>
      </c>
      <c r="I23" s="10"/>
      <c r="J23" s="26">
        <v>0.1</v>
      </c>
    </row>
    <row r="24" spans="1:10" ht="15" customHeight="1" x14ac:dyDescent="0.2">
      <c r="A24" s="37"/>
      <c r="B24" s="37"/>
      <c r="C24" s="88"/>
      <c r="D24" s="37" t="s">
        <v>30</v>
      </c>
      <c r="E24" s="37"/>
      <c r="F24" s="37"/>
      <c r="G24" s="37"/>
      <c r="H24" s="37"/>
      <c r="I24" s="10"/>
      <c r="J24" s="38"/>
    </row>
    <row r="25" spans="1:10" ht="15" customHeight="1" x14ac:dyDescent="0.2">
      <c r="A25" s="15" t="s">
        <v>36</v>
      </c>
      <c r="B25" s="135"/>
      <c r="C25" s="65"/>
      <c r="D25" s="37" t="s">
        <v>30</v>
      </c>
      <c r="E25" s="16" t="s">
        <v>30</v>
      </c>
      <c r="F25" s="160"/>
      <c r="G25" s="37"/>
      <c r="H25" s="37"/>
      <c r="I25" s="10"/>
      <c r="J25" s="8"/>
    </row>
    <row r="26" spans="1:10" ht="15" customHeight="1" x14ac:dyDescent="0.2">
      <c r="A26" s="28" t="s">
        <v>37</v>
      </c>
      <c r="B26" s="89" t="s">
        <v>38</v>
      </c>
      <c r="C26" s="90"/>
      <c r="D26" s="70">
        <v>846</v>
      </c>
      <c r="E26" s="56">
        <v>0.40300000000000002</v>
      </c>
      <c r="F26" s="69">
        <f>ROUND(D26*(1-E26),2)</f>
        <v>505.06</v>
      </c>
      <c r="G26" s="173"/>
      <c r="H26" s="70">
        <f>ROUND(D26*(1-J26),0)</f>
        <v>761</v>
      </c>
      <c r="I26" s="10"/>
      <c r="J26" s="11">
        <v>0.1</v>
      </c>
    </row>
    <row r="27" spans="1:10" ht="15" customHeight="1" x14ac:dyDescent="0.2">
      <c r="A27" s="9" t="s">
        <v>39</v>
      </c>
      <c r="B27" s="86" t="s">
        <v>40</v>
      </c>
      <c r="C27" s="82"/>
      <c r="D27" s="68">
        <v>419</v>
      </c>
      <c r="E27" s="48">
        <v>0.40300000000000002</v>
      </c>
      <c r="F27" s="71">
        <f>ROUND(D27*(1-E27),2)</f>
        <v>250.14</v>
      </c>
      <c r="G27" s="173"/>
      <c r="H27" s="68">
        <f>ROUND(D27*(1-J27),0)</f>
        <v>377</v>
      </c>
      <c r="I27" s="10"/>
      <c r="J27" s="38">
        <v>0.1</v>
      </c>
    </row>
    <row r="28" spans="1:10" ht="15" customHeight="1" x14ac:dyDescent="0.2">
      <c r="A28" s="22" t="s">
        <v>41</v>
      </c>
      <c r="B28" s="87" t="s">
        <v>42</v>
      </c>
      <c r="C28" s="84"/>
      <c r="D28" s="73">
        <v>835</v>
      </c>
      <c r="E28" s="57">
        <v>0.40300000000000002</v>
      </c>
      <c r="F28" s="72">
        <f t="shared" ref="F28" si="4">ROUND(D28*(1-E28),2)</f>
        <v>498.5</v>
      </c>
      <c r="G28" s="173"/>
      <c r="H28" s="73">
        <f t="shared" ref="H28" si="5">ROUND(D28*(1-J28),0)</f>
        <v>752</v>
      </c>
      <c r="I28" s="10"/>
      <c r="J28" s="26">
        <v>0.1</v>
      </c>
    </row>
    <row r="29" spans="1:10" ht="15" customHeight="1" x14ac:dyDescent="0.2">
      <c r="A29" s="9"/>
      <c r="B29" s="86"/>
      <c r="C29" s="82"/>
      <c r="D29" s="37" t="s">
        <v>30</v>
      </c>
      <c r="E29" s="12"/>
      <c r="F29" s="161"/>
      <c r="G29" s="37"/>
      <c r="H29" s="37"/>
      <c r="I29" s="10"/>
      <c r="J29" s="38"/>
    </row>
    <row r="30" spans="1:10" ht="15" customHeight="1" x14ac:dyDescent="0.2">
      <c r="A30" s="17" t="s">
        <v>43</v>
      </c>
      <c r="B30" s="10"/>
      <c r="C30" s="91"/>
      <c r="D30" s="37" t="s">
        <v>30</v>
      </c>
      <c r="E30" s="14" t="s">
        <v>30</v>
      </c>
      <c r="F30" s="162"/>
      <c r="G30" s="37"/>
      <c r="H30" s="37"/>
      <c r="I30" s="10"/>
      <c r="J30" s="8"/>
    </row>
    <row r="31" spans="1:10" ht="15" customHeight="1" x14ac:dyDescent="0.2">
      <c r="A31" s="18" t="s">
        <v>44</v>
      </c>
      <c r="B31" s="92" t="s">
        <v>45</v>
      </c>
      <c r="C31" s="93"/>
      <c r="D31" s="75">
        <v>4232</v>
      </c>
      <c r="E31" s="47">
        <v>0.40300000000000002</v>
      </c>
      <c r="F31" s="74">
        <f>ROUND(D31*(1-E31),2)</f>
        <v>2526.5</v>
      </c>
      <c r="G31" s="173"/>
      <c r="H31" s="75">
        <f>ROUND(D31*(1-J31),0)</f>
        <v>3809</v>
      </c>
      <c r="I31" s="10"/>
      <c r="J31" s="19">
        <v>0.1</v>
      </c>
    </row>
    <row r="32" spans="1:10" ht="15" customHeight="1" x14ac:dyDescent="0.2">
      <c r="A32" s="9"/>
      <c r="B32" s="86"/>
      <c r="C32" s="82"/>
      <c r="D32" s="37" t="s">
        <v>30</v>
      </c>
      <c r="E32" s="38"/>
      <c r="F32" s="161"/>
      <c r="G32" s="37"/>
      <c r="H32" s="37"/>
      <c r="I32" s="10"/>
      <c r="J32" s="38"/>
    </row>
    <row r="33" spans="1:10" ht="15" customHeight="1" thickBot="1" x14ac:dyDescent="0.25">
      <c r="A33" s="4" t="s">
        <v>46</v>
      </c>
      <c r="B33" s="134"/>
      <c r="C33" s="94"/>
      <c r="D33" s="174" t="s">
        <v>30</v>
      </c>
      <c r="E33" s="20" t="s">
        <v>30</v>
      </c>
      <c r="F33" s="159"/>
      <c r="G33" s="174"/>
      <c r="H33" s="174"/>
      <c r="I33" s="21"/>
      <c r="J33" s="5"/>
    </row>
    <row r="34" spans="1:10" ht="15" customHeight="1" thickTop="1" x14ac:dyDescent="0.2">
      <c r="A34" s="17" t="s">
        <v>47</v>
      </c>
      <c r="B34" s="10"/>
      <c r="C34" s="91"/>
      <c r="D34" s="37" t="s">
        <v>30</v>
      </c>
      <c r="E34" s="14"/>
      <c r="F34" s="162"/>
      <c r="G34" s="37"/>
      <c r="H34" s="37"/>
      <c r="I34" s="10"/>
      <c r="J34" s="8"/>
    </row>
    <row r="35" spans="1:10" ht="15" customHeight="1" x14ac:dyDescent="0.2">
      <c r="A35" s="9" t="s">
        <v>324</v>
      </c>
      <c r="B35" s="86" t="s">
        <v>48</v>
      </c>
      <c r="C35" s="82"/>
      <c r="D35" s="148">
        <v>4430</v>
      </c>
      <c r="E35" s="48">
        <v>0.40300000000000002</v>
      </c>
      <c r="F35" s="153">
        <f>ROUND(D35*(1-E35),2)</f>
        <v>2644.71</v>
      </c>
      <c r="G35" s="173"/>
      <c r="H35" s="148">
        <f>ROUND(D35*(1-J35),0)</f>
        <v>3987</v>
      </c>
      <c r="I35" s="10"/>
      <c r="J35" s="38">
        <v>0.1</v>
      </c>
    </row>
    <row r="36" spans="1:10" ht="15" customHeight="1" x14ac:dyDescent="0.2">
      <c r="A36" s="9" t="s">
        <v>325</v>
      </c>
      <c r="B36" s="86" t="s">
        <v>49</v>
      </c>
      <c r="C36" s="82"/>
      <c r="D36" s="148">
        <v>5487</v>
      </c>
      <c r="E36" s="48">
        <v>0.40300000000000002</v>
      </c>
      <c r="F36" s="153">
        <f t="shared" ref="F36:F37" si="6">ROUND(D36*(1-E36),2)</f>
        <v>3275.74</v>
      </c>
      <c r="G36" s="173"/>
      <c r="H36" s="148">
        <f t="shared" ref="H36:H37" si="7">ROUND(D36*(1-J36),0)</f>
        <v>4938</v>
      </c>
      <c r="I36" s="10"/>
      <c r="J36" s="38">
        <v>0.1</v>
      </c>
    </row>
    <row r="37" spans="1:10" ht="15" customHeight="1" x14ac:dyDescent="0.2">
      <c r="A37" s="22" t="s">
        <v>50</v>
      </c>
      <c r="B37" s="87" t="s">
        <v>51</v>
      </c>
      <c r="C37" s="84"/>
      <c r="D37" s="149">
        <v>6546</v>
      </c>
      <c r="E37" s="57">
        <v>0.40300000000000002</v>
      </c>
      <c r="F37" s="154">
        <f t="shared" si="6"/>
        <v>3907.96</v>
      </c>
      <c r="G37" s="173"/>
      <c r="H37" s="149">
        <f t="shared" si="7"/>
        <v>5891</v>
      </c>
      <c r="I37" s="10"/>
      <c r="J37" s="26">
        <v>0.1</v>
      </c>
    </row>
    <row r="38" spans="1:10" ht="15" customHeight="1" x14ac:dyDescent="0.2">
      <c r="A38" s="9"/>
      <c r="B38" s="86"/>
      <c r="C38" s="82"/>
      <c r="D38" s="152" t="s">
        <v>30</v>
      </c>
      <c r="E38" s="38"/>
      <c r="F38" s="152"/>
      <c r="G38" s="37"/>
      <c r="H38" s="152"/>
      <c r="I38" s="10"/>
      <c r="J38" s="38"/>
    </row>
    <row r="39" spans="1:10" ht="15" customHeight="1" x14ac:dyDescent="0.2">
      <c r="A39" s="15" t="s">
        <v>52</v>
      </c>
      <c r="B39" s="135"/>
      <c r="C39" s="65"/>
      <c r="D39" s="152" t="s">
        <v>30</v>
      </c>
      <c r="E39" s="16" t="s">
        <v>30</v>
      </c>
      <c r="F39" s="175"/>
      <c r="G39" s="37"/>
      <c r="H39" s="152"/>
      <c r="I39" s="10"/>
      <c r="J39" s="8"/>
    </row>
    <row r="40" spans="1:10" ht="15" customHeight="1" x14ac:dyDescent="0.2">
      <c r="A40" s="28" t="s">
        <v>53</v>
      </c>
      <c r="B40" s="89" t="s">
        <v>54</v>
      </c>
      <c r="C40" s="95" t="s">
        <v>55</v>
      </c>
      <c r="D40" s="150">
        <v>2514</v>
      </c>
      <c r="E40" s="56">
        <v>0.40300000000000002</v>
      </c>
      <c r="F40" s="155">
        <f>ROUND(D40*(1-E40),2)</f>
        <v>1500.86</v>
      </c>
      <c r="G40" s="173"/>
      <c r="H40" s="150">
        <f>ROUND(D40*(1-J40),0)</f>
        <v>2263</v>
      </c>
      <c r="I40" s="10"/>
      <c r="J40" s="11">
        <v>0.1</v>
      </c>
    </row>
    <row r="41" spans="1:10" ht="15" customHeight="1" x14ac:dyDescent="0.2">
      <c r="A41" s="23" t="s">
        <v>56</v>
      </c>
      <c r="B41" s="86" t="s">
        <v>57</v>
      </c>
      <c r="C41" s="96" t="s">
        <v>58</v>
      </c>
      <c r="D41" s="148">
        <v>3438</v>
      </c>
      <c r="E41" s="48">
        <v>0.40300000000000002</v>
      </c>
      <c r="F41" s="153">
        <f>ROUND(D41*(1-E41),2)</f>
        <v>2052.4899999999998</v>
      </c>
      <c r="G41" s="173"/>
      <c r="H41" s="148">
        <f>ROUND(D41*(1-J41),0)</f>
        <v>3094</v>
      </c>
      <c r="I41" s="10"/>
      <c r="J41" s="38">
        <v>0.1</v>
      </c>
    </row>
    <row r="42" spans="1:10" ht="15" customHeight="1" x14ac:dyDescent="0.2">
      <c r="A42" s="9" t="s">
        <v>59</v>
      </c>
      <c r="B42" s="86" t="s">
        <v>60</v>
      </c>
      <c r="C42" s="96" t="s">
        <v>55</v>
      </c>
      <c r="D42" s="148">
        <v>3372</v>
      </c>
      <c r="E42" s="48">
        <v>0.40300000000000002</v>
      </c>
      <c r="F42" s="153">
        <f t="shared" ref="F42" si="8">ROUND(D42*(1-E42),2)</f>
        <v>2013.08</v>
      </c>
      <c r="G42" s="173"/>
      <c r="H42" s="148">
        <f t="shared" ref="H42" si="9">ROUND(D42*(1-J42),0)</f>
        <v>3035</v>
      </c>
      <c r="I42" s="10"/>
      <c r="J42" s="38">
        <v>0.1</v>
      </c>
    </row>
    <row r="43" spans="1:10" ht="15" customHeight="1" x14ac:dyDescent="0.2">
      <c r="A43" s="23" t="s">
        <v>61</v>
      </c>
      <c r="B43" s="86" t="s">
        <v>62</v>
      </c>
      <c r="C43" s="96" t="s">
        <v>58</v>
      </c>
      <c r="D43" s="148">
        <v>3967</v>
      </c>
      <c r="E43" s="48">
        <v>0.40300000000000002</v>
      </c>
      <c r="F43" s="153">
        <f t="shared" ref="F43:F45" si="10">ROUND(D43*(1-E43),2)</f>
        <v>2368.3000000000002</v>
      </c>
      <c r="G43" s="173"/>
      <c r="H43" s="148">
        <f t="shared" ref="H43:H45" si="11">ROUND(D43*(1-J43),0)</f>
        <v>3570</v>
      </c>
      <c r="I43" s="10"/>
      <c r="J43" s="38">
        <v>0.1</v>
      </c>
    </row>
    <row r="44" spans="1:10" ht="15" customHeight="1" x14ac:dyDescent="0.2">
      <c r="A44" s="9" t="s">
        <v>63</v>
      </c>
      <c r="B44" s="86" t="s">
        <v>64</v>
      </c>
      <c r="C44" s="96" t="s">
        <v>55</v>
      </c>
      <c r="D44" s="148">
        <v>3438</v>
      </c>
      <c r="E44" s="48">
        <v>0.40300000000000002</v>
      </c>
      <c r="F44" s="153">
        <f t="shared" si="10"/>
        <v>2052.4899999999998</v>
      </c>
      <c r="G44" s="173"/>
      <c r="H44" s="148">
        <f t="shared" si="11"/>
        <v>3094</v>
      </c>
      <c r="I44" s="10"/>
      <c r="J44" s="38">
        <v>0.1</v>
      </c>
    </row>
    <row r="45" spans="1:10" ht="15" customHeight="1" x14ac:dyDescent="0.2">
      <c r="A45" s="22" t="s">
        <v>65</v>
      </c>
      <c r="B45" s="87" t="s">
        <v>66</v>
      </c>
      <c r="C45" s="84" t="s">
        <v>58</v>
      </c>
      <c r="D45" s="149">
        <v>4034</v>
      </c>
      <c r="E45" s="57">
        <v>0.40300000000000002</v>
      </c>
      <c r="F45" s="154">
        <f t="shared" si="10"/>
        <v>2408.3000000000002</v>
      </c>
      <c r="G45" s="173"/>
      <c r="H45" s="149">
        <f t="shared" si="11"/>
        <v>3631</v>
      </c>
      <c r="I45" s="10"/>
      <c r="J45" s="26">
        <v>0.1</v>
      </c>
    </row>
    <row r="46" spans="1:10" ht="15" customHeight="1" x14ac:dyDescent="0.2">
      <c r="A46" s="38"/>
      <c r="B46" s="38"/>
      <c r="C46" s="85"/>
      <c r="D46" s="152" t="s">
        <v>30</v>
      </c>
      <c r="E46" s="38"/>
      <c r="F46" s="152"/>
      <c r="G46" s="37"/>
      <c r="H46" s="152"/>
      <c r="I46" s="10"/>
      <c r="J46" s="38"/>
    </row>
    <row r="47" spans="1:10" ht="15" customHeight="1" x14ac:dyDescent="0.2">
      <c r="A47" s="24" t="s">
        <v>67</v>
      </c>
      <c r="B47" s="10"/>
      <c r="C47" s="65"/>
      <c r="D47" s="152" t="s">
        <v>30</v>
      </c>
      <c r="E47" s="16" t="s">
        <v>30</v>
      </c>
      <c r="F47" s="175"/>
      <c r="G47" s="37"/>
      <c r="H47" s="152"/>
      <c r="I47" s="10"/>
      <c r="J47" s="8"/>
    </row>
    <row r="48" spans="1:10" ht="15" customHeight="1" x14ac:dyDescent="0.2">
      <c r="A48" s="28" t="s">
        <v>68</v>
      </c>
      <c r="B48" s="89" t="s">
        <v>69</v>
      </c>
      <c r="C48" s="95" t="s">
        <v>70</v>
      </c>
      <c r="D48" s="150">
        <v>17850</v>
      </c>
      <c r="E48" s="56">
        <v>0.35299999999999998</v>
      </c>
      <c r="F48" s="155">
        <f>ROUND(D48*(1-E48),2)</f>
        <v>11548.95</v>
      </c>
      <c r="G48" s="173"/>
      <c r="H48" s="150">
        <f>ROUND(D48*(1-J48),0)</f>
        <v>16065</v>
      </c>
      <c r="I48" s="10"/>
      <c r="J48" s="11">
        <v>0.1</v>
      </c>
    </row>
    <row r="49" spans="1:10" ht="15" customHeight="1" x14ac:dyDescent="0.2">
      <c r="A49" s="9" t="s">
        <v>71</v>
      </c>
      <c r="B49" s="86" t="s">
        <v>69</v>
      </c>
      <c r="C49" s="82" t="s">
        <v>72</v>
      </c>
      <c r="D49" s="148">
        <v>20167</v>
      </c>
      <c r="E49" s="48">
        <v>0.35299999999999998</v>
      </c>
      <c r="F49" s="153">
        <f>ROUND(D49*(1-E49),2)</f>
        <v>13048.05</v>
      </c>
      <c r="G49" s="173"/>
      <c r="H49" s="148">
        <f>ROUND(D49*(1-J49),0)</f>
        <v>18150</v>
      </c>
      <c r="I49" s="10"/>
      <c r="J49" s="38">
        <v>0.1</v>
      </c>
    </row>
    <row r="50" spans="1:10" ht="15" customHeight="1" x14ac:dyDescent="0.2">
      <c r="A50" s="9" t="s">
        <v>73</v>
      </c>
      <c r="B50" s="86" t="s">
        <v>74</v>
      </c>
      <c r="C50" s="82" t="s">
        <v>70</v>
      </c>
      <c r="D50" s="148">
        <v>20828</v>
      </c>
      <c r="E50" s="48">
        <v>0.35299999999999998</v>
      </c>
      <c r="F50" s="153">
        <f t="shared" ref="F50:F51" si="12">ROUND(D50*(1-E50),2)</f>
        <v>13475.72</v>
      </c>
      <c r="G50" s="173"/>
      <c r="H50" s="148">
        <f t="shared" ref="H50:H51" si="13">ROUND(D50*(1-J50),0)</f>
        <v>18745</v>
      </c>
      <c r="I50" s="10"/>
      <c r="J50" s="38">
        <v>0.1</v>
      </c>
    </row>
    <row r="51" spans="1:10" ht="15" customHeight="1" x14ac:dyDescent="0.2">
      <c r="A51" s="22" t="s">
        <v>75</v>
      </c>
      <c r="B51" s="87" t="s">
        <v>74</v>
      </c>
      <c r="C51" s="84" t="s">
        <v>72</v>
      </c>
      <c r="D51" s="149">
        <v>23141</v>
      </c>
      <c r="E51" s="57">
        <v>0.35299999999999998</v>
      </c>
      <c r="F51" s="154">
        <f t="shared" si="12"/>
        <v>14972.23</v>
      </c>
      <c r="G51" s="173"/>
      <c r="H51" s="149">
        <f t="shared" si="13"/>
        <v>20827</v>
      </c>
      <c r="I51" s="10"/>
      <c r="J51" s="26">
        <v>0.1</v>
      </c>
    </row>
    <row r="52" spans="1:10" ht="15" customHeight="1" x14ac:dyDescent="0.2">
      <c r="A52" s="38"/>
      <c r="B52" s="38"/>
      <c r="C52" s="85"/>
      <c r="D52" s="152" t="s">
        <v>30</v>
      </c>
      <c r="E52" s="38"/>
      <c r="F52" s="152"/>
      <c r="G52" s="37"/>
      <c r="H52" s="152"/>
      <c r="I52" s="10"/>
      <c r="J52" s="38"/>
    </row>
    <row r="53" spans="1:10" ht="15" customHeight="1" x14ac:dyDescent="0.2">
      <c r="A53" s="15" t="s">
        <v>76</v>
      </c>
      <c r="B53" s="10"/>
      <c r="C53" s="65"/>
      <c r="D53" s="152" t="s">
        <v>30</v>
      </c>
      <c r="E53" s="16"/>
      <c r="F53" s="175"/>
      <c r="G53" s="37"/>
      <c r="H53" s="152"/>
      <c r="I53" s="10"/>
      <c r="J53" s="8"/>
    </row>
    <row r="54" spans="1:10" ht="15" customHeight="1" x14ac:dyDescent="0.2">
      <c r="A54" s="28" t="s">
        <v>77</v>
      </c>
      <c r="B54" s="89" t="s">
        <v>78</v>
      </c>
      <c r="C54" s="95" t="s">
        <v>79</v>
      </c>
      <c r="D54" s="150">
        <v>24131</v>
      </c>
      <c r="E54" s="56">
        <v>0.35299999999999998</v>
      </c>
      <c r="F54" s="155">
        <f>ROUND(D54*(1-E54),2)</f>
        <v>15612.76</v>
      </c>
      <c r="G54" s="173"/>
      <c r="H54" s="150">
        <f>ROUND(D54*(1-J54),0)</f>
        <v>21718</v>
      </c>
      <c r="I54" s="10"/>
      <c r="J54" s="11">
        <v>0.1</v>
      </c>
    </row>
    <row r="55" spans="1:10" ht="15" customHeight="1" x14ac:dyDescent="0.2">
      <c r="A55" s="22" t="s">
        <v>80</v>
      </c>
      <c r="B55" s="87" t="s">
        <v>78</v>
      </c>
      <c r="C55" s="97" t="s">
        <v>81</v>
      </c>
      <c r="D55" s="149">
        <v>26447</v>
      </c>
      <c r="E55" s="57">
        <v>0.35299999999999998</v>
      </c>
      <c r="F55" s="154">
        <f>ROUND(D55*(1-E55),2)</f>
        <v>17111.21</v>
      </c>
      <c r="G55" s="173"/>
      <c r="H55" s="149">
        <f>ROUND(D55*(1-J55),0)</f>
        <v>23802</v>
      </c>
      <c r="I55" s="10"/>
      <c r="J55" s="26">
        <v>0.1</v>
      </c>
    </row>
    <row r="56" spans="1:10" ht="15" customHeight="1" x14ac:dyDescent="0.2">
      <c r="A56" s="38"/>
      <c r="B56" s="38"/>
      <c r="C56" s="85"/>
      <c r="D56" s="152" t="s">
        <v>30</v>
      </c>
      <c r="E56" s="38"/>
      <c r="F56" s="152"/>
      <c r="G56" s="37"/>
      <c r="H56" s="152"/>
      <c r="I56" s="10"/>
      <c r="J56" s="38"/>
    </row>
    <row r="57" spans="1:10" ht="15" customHeight="1" thickBot="1" x14ac:dyDescent="0.25">
      <c r="A57" s="4" t="s">
        <v>82</v>
      </c>
      <c r="B57" s="136"/>
      <c r="C57" s="94"/>
      <c r="D57" s="177" t="s">
        <v>30</v>
      </c>
      <c r="E57" s="54" t="s">
        <v>30</v>
      </c>
      <c r="F57" s="176"/>
      <c r="G57" s="174"/>
      <c r="H57" s="177"/>
      <c r="I57" s="21"/>
      <c r="J57" s="98"/>
    </row>
    <row r="58" spans="1:10" ht="15" customHeight="1" thickTop="1" x14ac:dyDescent="0.2">
      <c r="A58" s="64" t="s">
        <v>83</v>
      </c>
      <c r="B58" s="89" t="s">
        <v>84</v>
      </c>
      <c r="C58" s="99"/>
      <c r="D58" s="148">
        <v>5885</v>
      </c>
      <c r="E58" s="56">
        <v>0.40300000000000002</v>
      </c>
      <c r="F58" s="153">
        <f>ROUND(D58*(1-E58),2)</f>
        <v>3513.35</v>
      </c>
      <c r="G58" s="173"/>
      <c r="H58" s="148">
        <f>ROUND(D58*(1-J58),0)</f>
        <v>5297</v>
      </c>
      <c r="I58" s="10"/>
      <c r="J58" s="11">
        <v>0.1</v>
      </c>
    </row>
    <row r="59" spans="1:10" ht="15" customHeight="1" x14ac:dyDescent="0.2">
      <c r="A59" s="22" t="s">
        <v>353</v>
      </c>
      <c r="B59" s="87" t="s">
        <v>354</v>
      </c>
      <c r="C59" s="84" t="s">
        <v>355</v>
      </c>
      <c r="D59" s="149">
        <v>379</v>
      </c>
      <c r="E59" s="57">
        <v>0.40300000000000002</v>
      </c>
      <c r="F59" s="154">
        <f t="shared" ref="F59" si="14">ROUND(D59*(1-E59),2)</f>
        <v>226.26</v>
      </c>
      <c r="G59" s="173"/>
      <c r="H59" s="149">
        <f t="shared" ref="H59" si="15">ROUND(D59*(1-J59),0)</f>
        <v>341</v>
      </c>
      <c r="I59" s="10"/>
      <c r="J59" s="26">
        <v>0.1</v>
      </c>
    </row>
    <row r="60" spans="1:10" ht="15" customHeight="1" x14ac:dyDescent="0.2">
      <c r="A60" s="13"/>
      <c r="B60" s="86"/>
      <c r="C60" s="91"/>
      <c r="D60" s="152" t="s">
        <v>30</v>
      </c>
      <c r="E60" s="49" t="s">
        <v>30</v>
      </c>
      <c r="F60" s="178"/>
      <c r="G60" s="37"/>
      <c r="H60" s="152"/>
      <c r="I60" s="10"/>
      <c r="J60" s="10"/>
    </row>
    <row r="61" spans="1:10" ht="15" customHeight="1" thickBot="1" x14ac:dyDescent="0.25">
      <c r="A61" s="25" t="s">
        <v>85</v>
      </c>
      <c r="B61" s="21"/>
      <c r="C61" s="94"/>
      <c r="D61" s="177" t="s">
        <v>30</v>
      </c>
      <c r="E61" s="54" t="s">
        <v>30</v>
      </c>
      <c r="F61" s="176"/>
      <c r="G61" s="174"/>
      <c r="H61" s="177"/>
      <c r="I61" s="21"/>
      <c r="J61" s="5"/>
    </row>
    <row r="62" spans="1:10" ht="15" customHeight="1" thickTop="1" x14ac:dyDescent="0.2">
      <c r="A62" s="28" t="s">
        <v>86</v>
      </c>
      <c r="B62" s="89" t="s">
        <v>87</v>
      </c>
      <c r="C62" s="90" t="s">
        <v>88</v>
      </c>
      <c r="D62" s="148">
        <v>6016</v>
      </c>
      <c r="E62" s="56">
        <v>0.35299999999999998</v>
      </c>
      <c r="F62" s="153">
        <f t="shared" ref="F62:F63" si="16">ROUND(D62*(1-E62),2)</f>
        <v>3892.35</v>
      </c>
      <c r="G62" s="173"/>
      <c r="H62" s="148">
        <f t="shared" ref="H62:H63" si="17">ROUND(D62*(1-J62),0)</f>
        <v>5414</v>
      </c>
      <c r="I62" s="10"/>
      <c r="J62" s="38">
        <v>0.1</v>
      </c>
    </row>
    <row r="63" spans="1:10" ht="15" customHeight="1" x14ac:dyDescent="0.2">
      <c r="A63" s="9" t="s">
        <v>89</v>
      </c>
      <c r="B63" s="100" t="s">
        <v>90</v>
      </c>
      <c r="C63" s="82" t="s">
        <v>91</v>
      </c>
      <c r="D63" s="148">
        <v>8728</v>
      </c>
      <c r="E63" s="48">
        <v>0.35299999999999998</v>
      </c>
      <c r="F63" s="153">
        <f t="shared" si="16"/>
        <v>5647.02</v>
      </c>
      <c r="G63" s="173"/>
      <c r="H63" s="148">
        <f t="shared" si="17"/>
        <v>7855</v>
      </c>
      <c r="I63" s="10"/>
      <c r="J63" s="38">
        <v>0.1</v>
      </c>
    </row>
    <row r="64" spans="1:10" ht="15" customHeight="1" x14ac:dyDescent="0.2">
      <c r="A64" s="9" t="s">
        <v>92</v>
      </c>
      <c r="B64" s="100" t="s">
        <v>90</v>
      </c>
      <c r="C64" s="82" t="s">
        <v>93</v>
      </c>
      <c r="D64" s="148">
        <v>9652</v>
      </c>
      <c r="E64" s="48">
        <v>0.35299999999999998</v>
      </c>
      <c r="F64" s="153">
        <f>ROUND(D64*(1-E64),2)</f>
        <v>6244.84</v>
      </c>
      <c r="G64" s="173"/>
      <c r="H64" s="148">
        <f>ROUND(D64*(1-J64),0)</f>
        <v>8687</v>
      </c>
      <c r="I64" s="10"/>
      <c r="J64" s="38">
        <v>0.1</v>
      </c>
    </row>
    <row r="65" spans="1:10" ht="15" customHeight="1" x14ac:dyDescent="0.2">
      <c r="A65" s="9" t="s">
        <v>94</v>
      </c>
      <c r="B65" s="86" t="s">
        <v>95</v>
      </c>
      <c r="C65" s="82" t="s">
        <v>96</v>
      </c>
      <c r="D65" s="148">
        <v>22810</v>
      </c>
      <c r="E65" s="48">
        <v>0.35299999999999998</v>
      </c>
      <c r="F65" s="153">
        <f t="shared" ref="F65:F66" si="18">ROUND(D65*(1-E65),2)</f>
        <v>14758.07</v>
      </c>
      <c r="G65" s="173"/>
      <c r="H65" s="148">
        <f t="shared" ref="H65:H66" si="19">ROUND(D65*(1-J65),0)</f>
        <v>20529</v>
      </c>
      <c r="I65" s="10"/>
      <c r="J65" s="38">
        <v>0.1</v>
      </c>
    </row>
    <row r="66" spans="1:10" ht="15" customHeight="1" x14ac:dyDescent="0.2">
      <c r="A66" s="22" t="s">
        <v>97</v>
      </c>
      <c r="B66" s="87" t="s">
        <v>95</v>
      </c>
      <c r="C66" s="84" t="s">
        <v>98</v>
      </c>
      <c r="D66" s="149">
        <v>25453</v>
      </c>
      <c r="E66" s="57">
        <v>0.35299999999999998</v>
      </c>
      <c r="F66" s="154">
        <f t="shared" si="18"/>
        <v>16468.09</v>
      </c>
      <c r="G66" s="179"/>
      <c r="H66" s="149">
        <f t="shared" si="19"/>
        <v>22908</v>
      </c>
      <c r="I66" s="10"/>
      <c r="J66" s="26">
        <v>0.1</v>
      </c>
    </row>
    <row r="67" spans="1:10" ht="15" customHeight="1" x14ac:dyDescent="0.2">
      <c r="A67" s="13"/>
      <c r="B67" s="86"/>
      <c r="C67" s="91"/>
      <c r="D67" s="152" t="s">
        <v>30</v>
      </c>
      <c r="E67" s="49" t="s">
        <v>30</v>
      </c>
      <c r="F67" s="178"/>
      <c r="G67" s="37"/>
      <c r="H67" s="152"/>
      <c r="I67" s="10"/>
      <c r="J67" s="10"/>
    </row>
    <row r="68" spans="1:10" ht="15" customHeight="1" thickBot="1" x14ac:dyDescent="0.25">
      <c r="A68" s="4" t="s">
        <v>99</v>
      </c>
      <c r="B68" s="10"/>
      <c r="C68" s="94"/>
      <c r="D68" s="177" t="s">
        <v>30</v>
      </c>
      <c r="E68" s="54" t="s">
        <v>30</v>
      </c>
      <c r="F68" s="176"/>
      <c r="G68" s="174"/>
      <c r="H68" s="177"/>
      <c r="I68" s="21"/>
      <c r="J68" s="27"/>
    </row>
    <row r="69" spans="1:10" ht="15" customHeight="1" thickTop="1" x14ac:dyDescent="0.2">
      <c r="A69" s="7" t="s">
        <v>100</v>
      </c>
      <c r="B69" s="137"/>
      <c r="C69" s="101"/>
      <c r="D69" s="152" t="s">
        <v>30</v>
      </c>
      <c r="E69" s="55" t="s">
        <v>30</v>
      </c>
      <c r="F69" s="180"/>
      <c r="G69" s="37"/>
      <c r="H69" s="152"/>
      <c r="I69" s="10"/>
      <c r="J69" s="8"/>
    </row>
    <row r="70" spans="1:10" ht="15" customHeight="1" x14ac:dyDescent="0.2">
      <c r="A70" s="28" t="s">
        <v>101</v>
      </c>
      <c r="B70" s="89" t="s">
        <v>102</v>
      </c>
      <c r="C70" s="82" t="s">
        <v>103</v>
      </c>
      <c r="D70" s="150">
        <v>2117</v>
      </c>
      <c r="E70" s="48">
        <v>0.45300000000000001</v>
      </c>
      <c r="F70" s="155">
        <f>ROUND(D70*(1-E70),2)</f>
        <v>1158</v>
      </c>
      <c r="G70" s="173"/>
      <c r="H70" s="150">
        <f>ROUND(D70*(1-J70),0)</f>
        <v>1905</v>
      </c>
      <c r="I70" s="10"/>
      <c r="J70" s="11">
        <v>0.1</v>
      </c>
    </row>
    <row r="71" spans="1:10" ht="15" customHeight="1" x14ac:dyDescent="0.2">
      <c r="A71" s="22" t="s">
        <v>104</v>
      </c>
      <c r="B71" s="102" t="s">
        <v>105</v>
      </c>
      <c r="C71" s="84" t="s">
        <v>103</v>
      </c>
      <c r="D71" s="149">
        <v>2182</v>
      </c>
      <c r="E71" s="57">
        <v>0.45300000000000001</v>
      </c>
      <c r="F71" s="154">
        <f>ROUND(D71*(1-E71),2)</f>
        <v>1193.55</v>
      </c>
      <c r="G71" s="173"/>
      <c r="H71" s="149">
        <f>ROUND(D71*(1-J71),0)</f>
        <v>1964</v>
      </c>
      <c r="I71" s="10"/>
      <c r="J71" s="26">
        <v>0.1</v>
      </c>
    </row>
    <row r="72" spans="1:10" ht="15" customHeight="1" x14ac:dyDescent="0.2">
      <c r="A72" s="13"/>
      <c r="B72" s="86"/>
      <c r="C72" s="82"/>
      <c r="D72" s="152" t="s">
        <v>30</v>
      </c>
      <c r="E72" s="49" t="s">
        <v>30</v>
      </c>
      <c r="F72" s="178"/>
      <c r="G72" s="37"/>
      <c r="H72" s="152"/>
      <c r="I72" s="10"/>
      <c r="J72" s="10"/>
    </row>
    <row r="73" spans="1:10" ht="15" customHeight="1" x14ac:dyDescent="0.2">
      <c r="A73" s="15" t="s">
        <v>106</v>
      </c>
      <c r="B73" s="10"/>
      <c r="C73" s="84"/>
      <c r="D73" s="152" t="s">
        <v>30</v>
      </c>
      <c r="E73" s="50" t="s">
        <v>30</v>
      </c>
      <c r="F73" s="175"/>
      <c r="G73" s="37"/>
      <c r="H73" s="152"/>
      <c r="I73" s="10"/>
      <c r="J73" s="8"/>
    </row>
    <row r="74" spans="1:10" ht="15" customHeight="1" x14ac:dyDescent="0.2">
      <c r="A74" s="18" t="s">
        <v>107</v>
      </c>
      <c r="B74" s="103" t="s">
        <v>108</v>
      </c>
      <c r="C74" s="93" t="s">
        <v>103</v>
      </c>
      <c r="D74" s="151">
        <v>2644</v>
      </c>
      <c r="E74" s="47">
        <v>0.45300000000000001</v>
      </c>
      <c r="F74" s="156">
        <f>ROUND(D74*(1-E74),2)</f>
        <v>1446.27</v>
      </c>
      <c r="G74" s="173"/>
      <c r="H74" s="151">
        <f>ROUND(D74*(1-J74),0)</f>
        <v>2380</v>
      </c>
      <c r="I74" s="10"/>
      <c r="J74" s="19">
        <v>0.1</v>
      </c>
    </row>
    <row r="75" spans="1:10" ht="15" customHeight="1" x14ac:dyDescent="0.2">
      <c r="A75" s="13"/>
      <c r="B75" s="86"/>
      <c r="C75" s="82"/>
      <c r="D75" s="152" t="s">
        <v>30</v>
      </c>
      <c r="E75" s="49" t="s">
        <v>30</v>
      </c>
      <c r="F75" s="178"/>
      <c r="G75" s="37"/>
      <c r="H75" s="152"/>
      <c r="I75" s="10"/>
      <c r="J75" s="10"/>
    </row>
    <row r="76" spans="1:10" ht="15" customHeight="1" x14ac:dyDescent="0.2">
      <c r="A76" s="15" t="s">
        <v>109</v>
      </c>
      <c r="B76" s="135"/>
      <c r="C76" s="84"/>
      <c r="D76" s="152" t="s">
        <v>30</v>
      </c>
      <c r="E76" s="50" t="s">
        <v>30</v>
      </c>
      <c r="F76" s="175"/>
      <c r="G76" s="37"/>
      <c r="H76" s="152"/>
      <c r="I76" s="10"/>
      <c r="J76" s="8"/>
    </row>
    <row r="77" spans="1:10" ht="15" customHeight="1" x14ac:dyDescent="0.2">
      <c r="A77" s="18" t="s">
        <v>110</v>
      </c>
      <c r="B77" s="103" t="s">
        <v>111</v>
      </c>
      <c r="C77" s="93" t="s">
        <v>103</v>
      </c>
      <c r="D77" s="151">
        <v>2447</v>
      </c>
      <c r="E77" s="47">
        <v>0.45300000000000001</v>
      </c>
      <c r="F77" s="156">
        <f>ROUND(D77*(1-E77),2)</f>
        <v>1338.51</v>
      </c>
      <c r="G77" s="173"/>
      <c r="H77" s="151">
        <f>ROUND(D77*(1-J77),0)</f>
        <v>2202</v>
      </c>
      <c r="I77" s="10"/>
      <c r="J77" s="19">
        <v>0.1</v>
      </c>
    </row>
    <row r="78" spans="1:10" ht="15" customHeight="1" x14ac:dyDescent="0.2">
      <c r="A78" s="29"/>
      <c r="B78" s="138"/>
      <c r="C78" s="104"/>
      <c r="D78" s="152" t="s">
        <v>30</v>
      </c>
      <c r="E78" s="51" t="s">
        <v>30</v>
      </c>
      <c r="F78" s="181"/>
      <c r="G78" s="37"/>
      <c r="H78" s="152"/>
      <c r="I78" s="10"/>
      <c r="J78" s="30"/>
    </row>
    <row r="79" spans="1:10" ht="15" customHeight="1" x14ac:dyDescent="0.2">
      <c r="A79" s="187" t="s">
        <v>112</v>
      </c>
      <c r="B79" s="139"/>
      <c r="C79" s="105"/>
      <c r="D79" s="152" t="s">
        <v>30</v>
      </c>
      <c r="E79" s="52" t="s">
        <v>30</v>
      </c>
      <c r="F79" s="182"/>
      <c r="G79" s="37"/>
      <c r="H79" s="152"/>
      <c r="I79" s="10"/>
      <c r="J79" s="31"/>
    </row>
    <row r="80" spans="1:10" ht="15" customHeight="1" x14ac:dyDescent="0.2">
      <c r="A80" s="28" t="s">
        <v>113</v>
      </c>
      <c r="B80" s="106" t="s">
        <v>114</v>
      </c>
      <c r="C80" s="90"/>
      <c r="D80" s="150">
        <v>5288</v>
      </c>
      <c r="E80" s="56">
        <v>0.40300000000000002</v>
      </c>
      <c r="F80" s="155">
        <f>ROUND(D80*(1-E80),2)</f>
        <v>3156.94</v>
      </c>
      <c r="G80" s="173"/>
      <c r="H80" s="150">
        <f>ROUND(D80*(1-J80),0)</f>
        <v>4759</v>
      </c>
      <c r="I80" s="10"/>
      <c r="J80" s="11">
        <v>0.1</v>
      </c>
    </row>
    <row r="81" spans="1:10" ht="15" customHeight="1" x14ac:dyDescent="0.2">
      <c r="A81" s="22" t="s">
        <v>115</v>
      </c>
      <c r="B81" s="102" t="s">
        <v>116</v>
      </c>
      <c r="C81" s="84"/>
      <c r="D81" s="149">
        <v>5620</v>
      </c>
      <c r="E81" s="57">
        <v>0.40300000000000002</v>
      </c>
      <c r="F81" s="154">
        <f>ROUND(D81*(1-E81),2)</f>
        <v>3355.14</v>
      </c>
      <c r="G81" s="173"/>
      <c r="H81" s="149">
        <f>ROUND(D81*(1-J81),0)</f>
        <v>5058</v>
      </c>
      <c r="I81" s="10"/>
      <c r="J81" s="26">
        <v>0.1</v>
      </c>
    </row>
    <row r="82" spans="1:10" ht="15" customHeight="1" x14ac:dyDescent="0.2">
      <c r="A82" s="8"/>
      <c r="B82" s="10"/>
      <c r="C82" s="91"/>
      <c r="D82" s="152" t="s">
        <v>30</v>
      </c>
      <c r="E82" s="53"/>
      <c r="F82" s="178"/>
      <c r="G82" s="37"/>
      <c r="H82" s="152"/>
      <c r="I82" s="10"/>
      <c r="J82" s="10"/>
    </row>
    <row r="83" spans="1:10" ht="15" customHeight="1" thickBot="1" x14ac:dyDescent="0.25">
      <c r="A83" s="4" t="s">
        <v>117</v>
      </c>
      <c r="B83" s="134"/>
      <c r="C83" s="107"/>
      <c r="D83" s="177" t="s">
        <v>30</v>
      </c>
      <c r="E83" s="54" t="s">
        <v>30</v>
      </c>
      <c r="F83" s="176"/>
      <c r="G83" s="174"/>
      <c r="H83" s="177"/>
      <c r="I83" s="21"/>
      <c r="J83" s="21"/>
    </row>
    <row r="84" spans="1:10" ht="15" customHeight="1" thickTop="1" x14ac:dyDescent="0.2">
      <c r="A84" s="7" t="s">
        <v>118</v>
      </c>
      <c r="B84" s="140"/>
      <c r="C84" s="108"/>
      <c r="D84" s="152" t="s">
        <v>30</v>
      </c>
      <c r="E84" s="55" t="s">
        <v>30</v>
      </c>
      <c r="F84" s="180"/>
      <c r="G84" s="37"/>
      <c r="H84" s="152"/>
      <c r="I84" s="10"/>
      <c r="J84" s="10"/>
    </row>
    <row r="85" spans="1:10" ht="15" customHeight="1" x14ac:dyDescent="0.2">
      <c r="A85" s="28" t="s">
        <v>119</v>
      </c>
      <c r="B85" s="106" t="s">
        <v>120</v>
      </c>
      <c r="C85" s="90"/>
      <c r="D85" s="150">
        <v>3174</v>
      </c>
      <c r="E85" s="56">
        <v>0.45300000000000001</v>
      </c>
      <c r="F85" s="155">
        <f>ROUND(D85*(1-E85),2)</f>
        <v>1736.18</v>
      </c>
      <c r="G85" s="173"/>
      <c r="H85" s="150">
        <f>ROUND(D85*(1-J85),0)</f>
        <v>2857</v>
      </c>
      <c r="I85" s="10"/>
      <c r="J85" s="11">
        <v>0.1</v>
      </c>
    </row>
    <row r="86" spans="1:10" ht="15" customHeight="1" x14ac:dyDescent="0.2">
      <c r="A86" s="22" t="s">
        <v>121</v>
      </c>
      <c r="B86" s="102" t="s">
        <v>122</v>
      </c>
      <c r="C86" s="84"/>
      <c r="D86" s="149">
        <v>3834</v>
      </c>
      <c r="E86" s="57">
        <v>0.45300000000000001</v>
      </c>
      <c r="F86" s="154">
        <f>ROUND(D86*(1-E86),2)</f>
        <v>2097.1999999999998</v>
      </c>
      <c r="G86" s="173"/>
      <c r="H86" s="149">
        <f>ROUND(D86*(1-J86),0)</f>
        <v>3451</v>
      </c>
      <c r="I86" s="10"/>
      <c r="J86" s="26">
        <v>0.1</v>
      </c>
    </row>
    <row r="87" spans="1:10" ht="15" customHeight="1" x14ac:dyDescent="0.2">
      <c r="A87" s="13"/>
      <c r="B87" s="86"/>
      <c r="C87" s="91"/>
      <c r="D87" s="152" t="s">
        <v>30</v>
      </c>
      <c r="E87" s="49" t="s">
        <v>30</v>
      </c>
      <c r="F87" s="178"/>
      <c r="G87" s="37"/>
      <c r="H87" s="152"/>
      <c r="I87" s="10"/>
      <c r="J87" s="10"/>
    </row>
    <row r="88" spans="1:10" ht="15" customHeight="1" x14ac:dyDescent="0.2">
      <c r="A88" s="24" t="s">
        <v>123</v>
      </c>
      <c r="B88" s="10"/>
      <c r="C88" s="65"/>
      <c r="D88" s="152" t="s">
        <v>30</v>
      </c>
      <c r="E88" s="50" t="s">
        <v>30</v>
      </c>
      <c r="F88" s="175"/>
      <c r="G88" s="37"/>
      <c r="H88" s="152"/>
      <c r="I88" s="10"/>
      <c r="J88" s="10"/>
    </row>
    <row r="89" spans="1:10" ht="15" customHeight="1" x14ac:dyDescent="0.2">
      <c r="A89" s="28" t="s">
        <v>124</v>
      </c>
      <c r="B89" s="89" t="s">
        <v>125</v>
      </c>
      <c r="C89" s="95" t="s">
        <v>126</v>
      </c>
      <c r="D89" s="150">
        <v>10049</v>
      </c>
      <c r="E89" s="56">
        <v>0.35299999999999998</v>
      </c>
      <c r="F89" s="155">
        <f>ROUND(D89*(1-E89),2)</f>
        <v>6501.7</v>
      </c>
      <c r="G89" s="173"/>
      <c r="H89" s="150">
        <f>ROUND(D89*(1-J89),0)</f>
        <v>9044</v>
      </c>
      <c r="I89" s="10"/>
      <c r="J89" s="11">
        <v>0.1</v>
      </c>
    </row>
    <row r="90" spans="1:10" ht="15" customHeight="1" x14ac:dyDescent="0.2">
      <c r="A90" s="9" t="s">
        <v>127</v>
      </c>
      <c r="B90" s="86" t="s">
        <v>125</v>
      </c>
      <c r="C90" s="96" t="s">
        <v>128</v>
      </c>
      <c r="D90" s="148">
        <v>12695</v>
      </c>
      <c r="E90" s="48">
        <v>0.35299999999999998</v>
      </c>
      <c r="F90" s="153">
        <f>ROUND(D90*(1-E90),2)</f>
        <v>8213.67</v>
      </c>
      <c r="G90" s="173"/>
      <c r="H90" s="148">
        <f>ROUND(D90*(1-J90),0)</f>
        <v>11426</v>
      </c>
      <c r="I90" s="10"/>
      <c r="J90" s="38">
        <v>0.1</v>
      </c>
    </row>
    <row r="91" spans="1:10" ht="15" customHeight="1" x14ac:dyDescent="0.2">
      <c r="A91" s="9" t="s">
        <v>129</v>
      </c>
      <c r="B91" s="86" t="s">
        <v>130</v>
      </c>
      <c r="C91" s="96" t="s">
        <v>126</v>
      </c>
      <c r="D91" s="148">
        <v>12297</v>
      </c>
      <c r="E91" s="48">
        <v>0.35299999999999998</v>
      </c>
      <c r="F91" s="153">
        <f t="shared" ref="F91:F92" si="20">ROUND(D91*(1-E91),2)</f>
        <v>7956.16</v>
      </c>
      <c r="G91" s="173"/>
      <c r="H91" s="148">
        <f t="shared" ref="H91:H92" si="21">ROUND(D91*(1-J91),0)</f>
        <v>11067</v>
      </c>
      <c r="I91" s="10"/>
      <c r="J91" s="38">
        <v>0.1</v>
      </c>
    </row>
    <row r="92" spans="1:10" ht="15" customHeight="1" x14ac:dyDescent="0.2">
      <c r="A92" s="9" t="s">
        <v>131</v>
      </c>
      <c r="B92" s="86" t="s">
        <v>130</v>
      </c>
      <c r="C92" s="96" t="s">
        <v>128</v>
      </c>
      <c r="D92" s="148">
        <v>14875</v>
      </c>
      <c r="E92" s="48">
        <v>0.35299999999999998</v>
      </c>
      <c r="F92" s="153">
        <f t="shared" si="20"/>
        <v>9624.1299999999992</v>
      </c>
      <c r="G92" s="173"/>
      <c r="H92" s="148">
        <f t="shared" si="21"/>
        <v>13388</v>
      </c>
      <c r="I92" s="10"/>
      <c r="J92" s="38">
        <v>0.1</v>
      </c>
    </row>
    <row r="93" spans="1:10" ht="15" customHeight="1" x14ac:dyDescent="0.2">
      <c r="A93" s="28"/>
      <c r="B93" s="89"/>
      <c r="C93" s="95"/>
      <c r="D93" s="150" t="s">
        <v>30</v>
      </c>
      <c r="E93" s="56"/>
      <c r="F93" s="155"/>
      <c r="G93" s="173"/>
      <c r="H93" s="150"/>
      <c r="I93" s="131"/>
      <c r="J93" s="11"/>
    </row>
    <row r="94" spans="1:10" ht="15" customHeight="1" x14ac:dyDescent="0.2">
      <c r="A94" s="15" t="s">
        <v>373</v>
      </c>
      <c r="B94" s="10"/>
      <c r="C94" s="65"/>
      <c r="D94" s="152" t="s">
        <v>30</v>
      </c>
      <c r="E94" s="130" t="s">
        <v>30</v>
      </c>
      <c r="F94" s="175"/>
      <c r="G94" s="37"/>
      <c r="H94" s="152"/>
      <c r="I94" s="10"/>
      <c r="J94" s="10"/>
    </row>
    <row r="95" spans="1:10" ht="15" customHeight="1" x14ac:dyDescent="0.2">
      <c r="A95" s="28" t="s">
        <v>374</v>
      </c>
      <c r="B95" s="89" t="s">
        <v>375</v>
      </c>
      <c r="C95" s="95" t="s">
        <v>376</v>
      </c>
      <c r="D95" s="150">
        <v>23046</v>
      </c>
      <c r="E95" s="56">
        <v>0.35299999999999998</v>
      </c>
      <c r="F95" s="155">
        <f>ROUND(D95*(1-E95),2)</f>
        <v>14910.76</v>
      </c>
      <c r="G95" s="173"/>
      <c r="H95" s="150">
        <f>ROUND(D95*(1-J95),0)</f>
        <v>20741</v>
      </c>
      <c r="I95" s="10"/>
      <c r="J95" s="11">
        <v>0.1</v>
      </c>
    </row>
    <row r="96" spans="1:10" ht="15" customHeight="1" x14ac:dyDescent="0.2">
      <c r="A96" s="9" t="s">
        <v>377</v>
      </c>
      <c r="B96" s="86" t="s">
        <v>375</v>
      </c>
      <c r="C96" s="96" t="s">
        <v>378</v>
      </c>
      <c r="D96" s="148">
        <v>23384</v>
      </c>
      <c r="E96" s="48">
        <v>0.35299999999999998</v>
      </c>
      <c r="F96" s="153">
        <f>ROUND(D96*(1-E96),2)</f>
        <v>15129.45</v>
      </c>
      <c r="G96" s="173"/>
      <c r="H96" s="148">
        <f>ROUND(D96*(1-J96),0)</f>
        <v>21046</v>
      </c>
      <c r="I96" s="10"/>
      <c r="J96" s="38">
        <v>0.1</v>
      </c>
    </row>
    <row r="97" spans="1:10" ht="15" customHeight="1" x14ac:dyDescent="0.2">
      <c r="A97" s="22" t="s">
        <v>379</v>
      </c>
      <c r="B97" s="87" t="s">
        <v>375</v>
      </c>
      <c r="C97" s="97" t="s">
        <v>380</v>
      </c>
      <c r="D97" s="149">
        <v>26912</v>
      </c>
      <c r="E97" s="57">
        <v>0.35299999999999998</v>
      </c>
      <c r="F97" s="154">
        <f t="shared" ref="F97" si="22">ROUND(D97*(1-E97),2)</f>
        <v>17412.060000000001</v>
      </c>
      <c r="G97" s="173"/>
      <c r="H97" s="149">
        <f t="shared" ref="H97" si="23">ROUND(D97*(1-J97),0)</f>
        <v>24221</v>
      </c>
      <c r="I97" s="10"/>
      <c r="J97" s="26">
        <v>0.1</v>
      </c>
    </row>
    <row r="98" spans="1:10" ht="15" customHeight="1" x14ac:dyDescent="0.2">
      <c r="A98" s="13"/>
      <c r="B98" s="86"/>
      <c r="C98" s="91"/>
      <c r="D98" s="152" t="s">
        <v>30</v>
      </c>
      <c r="E98" s="49" t="s">
        <v>30</v>
      </c>
      <c r="F98" s="178"/>
      <c r="G98" s="37"/>
      <c r="H98" s="152"/>
      <c r="I98" s="10"/>
      <c r="J98" s="10"/>
    </row>
    <row r="99" spans="1:10" ht="15" customHeight="1" thickBot="1" x14ac:dyDescent="0.25">
      <c r="A99" s="4" t="s">
        <v>132</v>
      </c>
      <c r="B99" s="134"/>
      <c r="C99" s="109"/>
      <c r="D99" s="177" t="s">
        <v>30</v>
      </c>
      <c r="E99" s="54" t="s">
        <v>30</v>
      </c>
      <c r="F99" s="176"/>
      <c r="G99" s="174"/>
      <c r="H99" s="177"/>
      <c r="I99" s="21"/>
      <c r="J99" s="21"/>
    </row>
    <row r="100" spans="1:10" ht="15" customHeight="1" thickTop="1" x14ac:dyDescent="0.2">
      <c r="A100" s="28" t="s">
        <v>326</v>
      </c>
      <c r="B100" s="110" t="s">
        <v>133</v>
      </c>
      <c r="C100" s="111" t="s">
        <v>134</v>
      </c>
      <c r="D100" s="150">
        <v>557</v>
      </c>
      <c r="E100" s="56">
        <v>0.40300000000000002</v>
      </c>
      <c r="F100" s="155">
        <f>ROUND(D100*(1-E100),2)</f>
        <v>332.53</v>
      </c>
      <c r="G100" s="173"/>
      <c r="H100" s="150">
        <f>ROUND(D100*(1-J100),0)</f>
        <v>501</v>
      </c>
      <c r="I100" s="10"/>
      <c r="J100" s="38">
        <v>0.1</v>
      </c>
    </row>
    <row r="101" spans="1:10" ht="15" customHeight="1" x14ac:dyDescent="0.2">
      <c r="A101" s="9" t="s">
        <v>327</v>
      </c>
      <c r="B101" s="112" t="s">
        <v>135</v>
      </c>
      <c r="C101" s="111" t="s">
        <v>134</v>
      </c>
      <c r="D101" s="148">
        <v>991</v>
      </c>
      <c r="E101" s="48">
        <v>0.40300000000000002</v>
      </c>
      <c r="F101" s="153">
        <f>ROUND(D101*(1-E101),2)</f>
        <v>591.63</v>
      </c>
      <c r="G101" s="173"/>
      <c r="H101" s="148">
        <f>ROUND(D101*(1-J101),0)</f>
        <v>892</v>
      </c>
      <c r="I101" s="10"/>
      <c r="J101" s="38">
        <v>0.1</v>
      </c>
    </row>
    <row r="102" spans="1:10" ht="15" customHeight="1" x14ac:dyDescent="0.2">
      <c r="A102" s="9" t="s">
        <v>328</v>
      </c>
      <c r="B102" s="112" t="s">
        <v>136</v>
      </c>
      <c r="C102" s="111" t="s">
        <v>137</v>
      </c>
      <c r="D102" s="148">
        <v>1454</v>
      </c>
      <c r="E102" s="48">
        <v>0.40300000000000002</v>
      </c>
      <c r="F102" s="153">
        <f t="shared" ref="F102" si="24">ROUND(D102*(1-E102),2)</f>
        <v>868.04</v>
      </c>
      <c r="G102" s="173"/>
      <c r="H102" s="148">
        <f t="shared" ref="H102" si="25">ROUND(D102*(1-J102),0)</f>
        <v>1309</v>
      </c>
      <c r="I102" s="10"/>
      <c r="J102" s="38">
        <v>0.1</v>
      </c>
    </row>
    <row r="103" spans="1:10" ht="15" customHeight="1" x14ac:dyDescent="0.2">
      <c r="A103" s="9" t="s">
        <v>329</v>
      </c>
      <c r="B103" s="112" t="s">
        <v>138</v>
      </c>
      <c r="C103" s="111" t="s">
        <v>134</v>
      </c>
      <c r="D103" s="148">
        <v>1324</v>
      </c>
      <c r="E103" s="48">
        <v>0.40300000000000002</v>
      </c>
      <c r="F103" s="153">
        <f t="shared" ref="F103:F105" si="26">ROUND(D103*(1-E103),2)</f>
        <v>790.43</v>
      </c>
      <c r="G103" s="173"/>
      <c r="H103" s="148">
        <f t="shared" ref="H103:H105" si="27">ROUND(D103*(1-J103),0)</f>
        <v>1192</v>
      </c>
      <c r="I103" s="10"/>
      <c r="J103" s="38">
        <v>0.1</v>
      </c>
    </row>
    <row r="104" spans="1:10" ht="15" customHeight="1" x14ac:dyDescent="0.2">
      <c r="A104" s="9" t="s">
        <v>330</v>
      </c>
      <c r="B104" s="112" t="s">
        <v>139</v>
      </c>
      <c r="C104" s="111" t="s">
        <v>140</v>
      </c>
      <c r="D104" s="148">
        <v>1654</v>
      </c>
      <c r="E104" s="48">
        <v>0.40300000000000002</v>
      </c>
      <c r="F104" s="153">
        <f t="shared" si="26"/>
        <v>987.44</v>
      </c>
      <c r="G104" s="173"/>
      <c r="H104" s="148">
        <f t="shared" si="27"/>
        <v>1489</v>
      </c>
      <c r="I104" s="10"/>
      <c r="J104" s="38">
        <v>0.1</v>
      </c>
    </row>
    <row r="105" spans="1:10" ht="15" customHeight="1" x14ac:dyDescent="0.2">
      <c r="A105" s="22" t="s">
        <v>331</v>
      </c>
      <c r="B105" s="188" t="s">
        <v>141</v>
      </c>
      <c r="C105" s="146" t="s">
        <v>137</v>
      </c>
      <c r="D105" s="149">
        <v>1720</v>
      </c>
      <c r="E105" s="57">
        <v>0.40300000000000002</v>
      </c>
      <c r="F105" s="154">
        <f t="shared" si="26"/>
        <v>1026.8399999999999</v>
      </c>
      <c r="G105" s="173"/>
      <c r="H105" s="149">
        <f t="shared" si="27"/>
        <v>1548</v>
      </c>
      <c r="I105" s="10"/>
      <c r="J105" s="26">
        <v>0.1</v>
      </c>
    </row>
    <row r="106" spans="1:10" ht="15" customHeight="1" x14ac:dyDescent="0.2">
      <c r="A106" s="9"/>
      <c r="B106" s="113"/>
      <c r="C106" s="111"/>
      <c r="D106" s="152" t="s">
        <v>30</v>
      </c>
      <c r="E106" s="48"/>
      <c r="F106" s="152"/>
      <c r="G106" s="37"/>
      <c r="H106" s="152"/>
      <c r="I106" s="10"/>
      <c r="J106" s="38"/>
    </row>
    <row r="107" spans="1:10" ht="15" customHeight="1" thickBot="1" x14ac:dyDescent="0.25">
      <c r="A107" s="4" t="s">
        <v>142</v>
      </c>
      <c r="B107" s="134"/>
      <c r="C107" s="94"/>
      <c r="D107" s="177" t="s">
        <v>30</v>
      </c>
      <c r="E107" s="54" t="s">
        <v>30</v>
      </c>
      <c r="F107" s="176"/>
      <c r="G107" s="174"/>
      <c r="H107" s="177"/>
      <c r="I107" s="21"/>
      <c r="J107" s="21"/>
    </row>
    <row r="108" spans="1:10" ht="15" customHeight="1" thickTop="1" x14ac:dyDescent="0.2">
      <c r="A108" s="17" t="s">
        <v>143</v>
      </c>
      <c r="B108" s="141"/>
      <c r="C108" s="114"/>
      <c r="D108" s="152" t="s">
        <v>30</v>
      </c>
      <c r="E108" s="49" t="s">
        <v>30</v>
      </c>
      <c r="F108" s="178"/>
      <c r="G108" s="37"/>
      <c r="H108" s="152"/>
      <c r="I108" s="10"/>
      <c r="J108" s="10"/>
    </row>
    <row r="109" spans="1:10" ht="15" customHeight="1" x14ac:dyDescent="0.2">
      <c r="A109" s="28" t="s">
        <v>144</v>
      </c>
      <c r="B109" s="89" t="s">
        <v>145</v>
      </c>
      <c r="C109" s="90" t="s">
        <v>146</v>
      </c>
      <c r="D109" s="150">
        <v>1770</v>
      </c>
      <c r="E109" s="56">
        <v>0.35299999999999998</v>
      </c>
      <c r="F109" s="155">
        <f>ROUND(D109*(1-E109),2)</f>
        <v>1145.19</v>
      </c>
      <c r="G109" s="173"/>
      <c r="H109" s="150">
        <f>ROUND(D109*(1-J109),0)</f>
        <v>1593</v>
      </c>
      <c r="I109" s="10"/>
      <c r="J109" s="11">
        <v>0.1</v>
      </c>
    </row>
    <row r="110" spans="1:10" ht="15" customHeight="1" x14ac:dyDescent="0.2">
      <c r="A110" s="9" t="s">
        <v>332</v>
      </c>
      <c r="B110" s="86" t="s">
        <v>147</v>
      </c>
      <c r="C110" s="82" t="s">
        <v>148</v>
      </c>
      <c r="D110" s="148">
        <v>1911</v>
      </c>
      <c r="E110" s="48">
        <v>0.35299999999999998</v>
      </c>
      <c r="F110" s="153">
        <f>ROUND(D110*(1-E110),2)</f>
        <v>1236.42</v>
      </c>
      <c r="G110" s="173"/>
      <c r="H110" s="148">
        <f>ROUND(D110*(1-J110),0)</f>
        <v>1720</v>
      </c>
      <c r="I110" s="10"/>
      <c r="J110" s="38">
        <v>0.1</v>
      </c>
    </row>
    <row r="111" spans="1:10" ht="15" customHeight="1" x14ac:dyDescent="0.2">
      <c r="A111" s="9" t="s">
        <v>149</v>
      </c>
      <c r="B111" s="86" t="s">
        <v>150</v>
      </c>
      <c r="C111" s="82" t="s">
        <v>151</v>
      </c>
      <c r="D111" s="148">
        <v>3571</v>
      </c>
      <c r="E111" s="48">
        <v>0.35299999999999998</v>
      </c>
      <c r="F111" s="153">
        <f t="shared" ref="F111:F139" si="28">ROUND(D111*(1-E111),2)</f>
        <v>2310.44</v>
      </c>
      <c r="G111" s="173"/>
      <c r="H111" s="148">
        <f t="shared" ref="H111:H139" si="29">ROUND(D111*(1-J111),0)</f>
        <v>3214</v>
      </c>
      <c r="I111" s="10"/>
      <c r="J111" s="38">
        <v>0.1</v>
      </c>
    </row>
    <row r="112" spans="1:10" ht="15" customHeight="1" x14ac:dyDescent="0.2">
      <c r="A112" s="78" t="s">
        <v>357</v>
      </c>
      <c r="B112" s="86" t="s">
        <v>150</v>
      </c>
      <c r="C112" s="115" t="s">
        <v>358</v>
      </c>
      <c r="D112" s="148">
        <v>3967</v>
      </c>
      <c r="E112" s="48">
        <v>0.35299999999999998</v>
      </c>
      <c r="F112" s="153">
        <f t="shared" si="28"/>
        <v>2566.65</v>
      </c>
      <c r="G112" s="173"/>
      <c r="H112" s="148">
        <f t="shared" si="29"/>
        <v>3570</v>
      </c>
      <c r="I112" s="10"/>
      <c r="J112" s="38">
        <v>0.1</v>
      </c>
    </row>
    <row r="113" spans="1:10" ht="15" customHeight="1" x14ac:dyDescent="0.2">
      <c r="A113" s="9" t="s">
        <v>152</v>
      </c>
      <c r="B113" s="86" t="s">
        <v>153</v>
      </c>
      <c r="C113" s="82" t="s">
        <v>154</v>
      </c>
      <c r="D113" s="148">
        <v>5288</v>
      </c>
      <c r="E113" s="48">
        <v>0.35299999999999998</v>
      </c>
      <c r="F113" s="153">
        <f t="shared" si="28"/>
        <v>3421.34</v>
      </c>
      <c r="G113" s="173"/>
      <c r="H113" s="148">
        <f t="shared" si="29"/>
        <v>4759</v>
      </c>
      <c r="I113" s="10"/>
      <c r="J113" s="38">
        <v>0.1</v>
      </c>
    </row>
    <row r="114" spans="1:10" ht="15" customHeight="1" x14ac:dyDescent="0.2">
      <c r="A114" s="78" t="s">
        <v>359</v>
      </c>
      <c r="B114" s="116" t="s">
        <v>360</v>
      </c>
      <c r="C114" s="115" t="s">
        <v>165</v>
      </c>
      <c r="D114" s="148">
        <v>7536</v>
      </c>
      <c r="E114" s="48">
        <v>0.35299999999999998</v>
      </c>
      <c r="F114" s="153">
        <f t="shared" si="28"/>
        <v>4875.79</v>
      </c>
      <c r="G114" s="173"/>
      <c r="H114" s="148">
        <f t="shared" si="29"/>
        <v>6782</v>
      </c>
      <c r="I114" s="10"/>
      <c r="J114" s="38">
        <v>0.1</v>
      </c>
    </row>
    <row r="115" spans="1:10" ht="15" customHeight="1" x14ac:dyDescent="0.2">
      <c r="A115" s="78" t="s">
        <v>361</v>
      </c>
      <c r="B115" s="116" t="s">
        <v>360</v>
      </c>
      <c r="C115" s="115" t="s">
        <v>362</v>
      </c>
      <c r="D115" s="148">
        <v>7801</v>
      </c>
      <c r="E115" s="48">
        <v>0.35299999999999998</v>
      </c>
      <c r="F115" s="153">
        <f t="shared" si="28"/>
        <v>5047.25</v>
      </c>
      <c r="G115" s="173"/>
      <c r="H115" s="148">
        <f t="shared" si="29"/>
        <v>7021</v>
      </c>
      <c r="I115" s="10"/>
      <c r="J115" s="38">
        <v>0.1</v>
      </c>
    </row>
    <row r="116" spans="1:10" ht="15" customHeight="1" x14ac:dyDescent="0.2">
      <c r="A116" s="78" t="s">
        <v>363</v>
      </c>
      <c r="B116" s="116" t="s">
        <v>364</v>
      </c>
      <c r="C116" s="115" t="s">
        <v>165</v>
      </c>
      <c r="D116" s="148">
        <v>8462</v>
      </c>
      <c r="E116" s="48">
        <v>0.35299999999999998</v>
      </c>
      <c r="F116" s="153">
        <f t="shared" si="28"/>
        <v>5474.91</v>
      </c>
      <c r="G116" s="173"/>
      <c r="H116" s="148">
        <f t="shared" si="29"/>
        <v>7616</v>
      </c>
      <c r="I116" s="10"/>
      <c r="J116" s="38">
        <v>0.1</v>
      </c>
    </row>
    <row r="117" spans="1:10" ht="15" customHeight="1" x14ac:dyDescent="0.2">
      <c r="A117" s="78" t="s">
        <v>365</v>
      </c>
      <c r="B117" s="116" t="s">
        <v>364</v>
      </c>
      <c r="C117" s="115" t="s">
        <v>362</v>
      </c>
      <c r="D117" s="148">
        <v>8859</v>
      </c>
      <c r="E117" s="48">
        <v>0.35299999999999998</v>
      </c>
      <c r="F117" s="153">
        <f t="shared" si="28"/>
        <v>5731.77</v>
      </c>
      <c r="G117" s="173"/>
      <c r="H117" s="148">
        <f t="shared" si="29"/>
        <v>7973</v>
      </c>
      <c r="I117" s="10"/>
      <c r="J117" s="38">
        <v>0.1</v>
      </c>
    </row>
    <row r="118" spans="1:10" ht="15" customHeight="1" x14ac:dyDescent="0.2">
      <c r="A118" s="9" t="s">
        <v>155</v>
      </c>
      <c r="B118" s="86" t="s">
        <v>156</v>
      </c>
      <c r="C118" s="82" t="s">
        <v>157</v>
      </c>
      <c r="D118" s="148">
        <v>7272</v>
      </c>
      <c r="E118" s="48">
        <v>0.35299999999999998</v>
      </c>
      <c r="F118" s="153">
        <f t="shared" si="28"/>
        <v>4704.9799999999996</v>
      </c>
      <c r="G118" s="173"/>
      <c r="H118" s="148">
        <f t="shared" si="29"/>
        <v>6545</v>
      </c>
      <c r="I118" s="10"/>
      <c r="J118" s="38">
        <v>0.1</v>
      </c>
    </row>
    <row r="119" spans="1:10" ht="15" customHeight="1" x14ac:dyDescent="0.2">
      <c r="A119" s="9" t="s">
        <v>158</v>
      </c>
      <c r="B119" s="86" t="s">
        <v>156</v>
      </c>
      <c r="C119" s="82" t="s">
        <v>159</v>
      </c>
      <c r="D119" s="148">
        <v>8065</v>
      </c>
      <c r="E119" s="48">
        <v>0.35299999999999998</v>
      </c>
      <c r="F119" s="153">
        <f t="shared" si="28"/>
        <v>5218.0600000000004</v>
      </c>
      <c r="G119" s="173"/>
      <c r="H119" s="148">
        <f t="shared" si="29"/>
        <v>7259</v>
      </c>
      <c r="I119" s="10"/>
      <c r="J119" s="38">
        <v>0.1</v>
      </c>
    </row>
    <row r="120" spans="1:10" ht="15" customHeight="1" x14ac:dyDescent="0.2">
      <c r="A120" s="9" t="s">
        <v>160</v>
      </c>
      <c r="B120" s="86" t="s">
        <v>156</v>
      </c>
      <c r="C120" s="82" t="s">
        <v>161</v>
      </c>
      <c r="D120" s="148">
        <v>7272</v>
      </c>
      <c r="E120" s="48">
        <v>0.35299999999999998</v>
      </c>
      <c r="F120" s="153">
        <f t="shared" si="28"/>
        <v>4704.9799999999996</v>
      </c>
      <c r="G120" s="173"/>
      <c r="H120" s="148">
        <f t="shared" si="29"/>
        <v>6545</v>
      </c>
      <c r="I120" s="10"/>
      <c r="J120" s="38">
        <v>0.1</v>
      </c>
    </row>
    <row r="121" spans="1:10" ht="15" customHeight="1" x14ac:dyDescent="0.2">
      <c r="A121" s="9" t="s">
        <v>333</v>
      </c>
      <c r="B121" s="86" t="s">
        <v>162</v>
      </c>
      <c r="C121" s="82" t="s">
        <v>163</v>
      </c>
      <c r="D121" s="148">
        <v>10315</v>
      </c>
      <c r="E121" s="48">
        <v>0.35299999999999998</v>
      </c>
      <c r="F121" s="153">
        <f t="shared" si="28"/>
        <v>6673.81</v>
      </c>
      <c r="G121" s="173"/>
      <c r="H121" s="148">
        <f t="shared" si="29"/>
        <v>9284</v>
      </c>
      <c r="I121" s="10"/>
      <c r="J121" s="38">
        <v>0.1</v>
      </c>
    </row>
    <row r="122" spans="1:10" ht="15" customHeight="1" x14ac:dyDescent="0.2">
      <c r="A122" s="9" t="s">
        <v>334</v>
      </c>
      <c r="B122" s="86" t="s">
        <v>162</v>
      </c>
      <c r="C122" s="82" t="s">
        <v>164</v>
      </c>
      <c r="D122" s="148">
        <v>10711</v>
      </c>
      <c r="E122" s="48">
        <v>0.35299999999999998</v>
      </c>
      <c r="F122" s="153">
        <f t="shared" si="28"/>
        <v>6930.02</v>
      </c>
      <c r="G122" s="173"/>
      <c r="H122" s="148">
        <f t="shared" si="29"/>
        <v>9640</v>
      </c>
      <c r="I122" s="10"/>
      <c r="J122" s="38">
        <v>0.1</v>
      </c>
    </row>
    <row r="123" spans="1:10" ht="15" customHeight="1" x14ac:dyDescent="0.2">
      <c r="A123" s="9" t="s">
        <v>335</v>
      </c>
      <c r="B123" s="86" t="s">
        <v>162</v>
      </c>
      <c r="C123" s="82" t="s">
        <v>437</v>
      </c>
      <c r="D123" s="148">
        <v>11769</v>
      </c>
      <c r="E123" s="48">
        <v>0.35299999999999998</v>
      </c>
      <c r="F123" s="153">
        <f t="shared" si="28"/>
        <v>7614.54</v>
      </c>
      <c r="G123" s="173"/>
      <c r="H123" s="148">
        <f t="shared" si="29"/>
        <v>10592</v>
      </c>
      <c r="I123" s="10"/>
      <c r="J123" s="38">
        <v>0.1</v>
      </c>
    </row>
    <row r="124" spans="1:10" ht="15" customHeight="1" x14ac:dyDescent="0.2">
      <c r="A124" s="78" t="s">
        <v>438</v>
      </c>
      <c r="B124" s="116" t="s">
        <v>162</v>
      </c>
      <c r="C124" s="115" t="s">
        <v>439</v>
      </c>
      <c r="D124" s="192">
        <v>13535</v>
      </c>
      <c r="E124" s="193">
        <v>0.35299999999999998</v>
      </c>
      <c r="F124" s="194">
        <f>ROUND(D124*(1-E124),2)</f>
        <v>8757.15</v>
      </c>
      <c r="G124" s="195"/>
      <c r="H124" s="196">
        <f>ROUND(D124*(1-J124),0)</f>
        <v>12182</v>
      </c>
      <c r="I124" s="197"/>
      <c r="J124" s="198">
        <v>0.1</v>
      </c>
    </row>
    <row r="125" spans="1:10" ht="15" customHeight="1" x14ac:dyDescent="0.2">
      <c r="A125" s="9" t="s">
        <v>336</v>
      </c>
      <c r="B125" s="86" t="s">
        <v>162</v>
      </c>
      <c r="C125" s="82" t="s">
        <v>165</v>
      </c>
      <c r="D125" s="148">
        <v>10315</v>
      </c>
      <c r="E125" s="48">
        <v>0.35299999999999998</v>
      </c>
      <c r="F125" s="153">
        <f t="shared" si="28"/>
        <v>6673.81</v>
      </c>
      <c r="G125" s="173"/>
      <c r="H125" s="148">
        <f t="shared" si="29"/>
        <v>9284</v>
      </c>
      <c r="I125" s="10"/>
      <c r="J125" s="38">
        <v>0.1</v>
      </c>
    </row>
    <row r="126" spans="1:10" ht="15" customHeight="1" x14ac:dyDescent="0.2">
      <c r="A126" s="9" t="s">
        <v>337</v>
      </c>
      <c r="B126" s="86" t="s">
        <v>162</v>
      </c>
      <c r="C126" s="82" t="s">
        <v>166</v>
      </c>
      <c r="D126" s="148">
        <v>10711</v>
      </c>
      <c r="E126" s="48">
        <v>0.35299999999999998</v>
      </c>
      <c r="F126" s="153">
        <f t="shared" si="28"/>
        <v>6930.02</v>
      </c>
      <c r="G126" s="173"/>
      <c r="H126" s="148">
        <f t="shared" si="29"/>
        <v>9640</v>
      </c>
      <c r="I126" s="10"/>
      <c r="J126" s="38">
        <v>0.1</v>
      </c>
    </row>
    <row r="127" spans="1:10" ht="15" customHeight="1" x14ac:dyDescent="0.2">
      <c r="A127" s="9" t="s">
        <v>338</v>
      </c>
      <c r="B127" s="86" t="s">
        <v>162</v>
      </c>
      <c r="C127" s="82" t="s">
        <v>440</v>
      </c>
      <c r="D127" s="148">
        <v>11769</v>
      </c>
      <c r="E127" s="48">
        <v>0.35299999999999998</v>
      </c>
      <c r="F127" s="153">
        <f t="shared" si="28"/>
        <v>7614.54</v>
      </c>
      <c r="G127" s="173"/>
      <c r="H127" s="148">
        <f t="shared" si="29"/>
        <v>10592</v>
      </c>
      <c r="I127" s="10"/>
      <c r="J127" s="38">
        <v>0.1</v>
      </c>
    </row>
    <row r="128" spans="1:10" ht="15" customHeight="1" x14ac:dyDescent="0.2">
      <c r="A128" s="9" t="s">
        <v>339</v>
      </c>
      <c r="B128" s="86" t="s">
        <v>167</v>
      </c>
      <c r="C128" s="82" t="s">
        <v>166</v>
      </c>
      <c r="D128" s="148">
        <v>11506</v>
      </c>
      <c r="E128" s="48">
        <v>0.35299999999999998</v>
      </c>
      <c r="F128" s="153">
        <f t="shared" si="28"/>
        <v>7444.38</v>
      </c>
      <c r="G128" s="173"/>
      <c r="H128" s="148">
        <f t="shared" si="29"/>
        <v>10355</v>
      </c>
      <c r="I128" s="10"/>
      <c r="J128" s="38">
        <v>0.1</v>
      </c>
    </row>
    <row r="129" spans="1:10" ht="15" customHeight="1" x14ac:dyDescent="0.2">
      <c r="A129" s="9" t="s">
        <v>340</v>
      </c>
      <c r="B129" s="86" t="s">
        <v>167</v>
      </c>
      <c r="C129" s="82" t="s">
        <v>442</v>
      </c>
      <c r="D129" s="148">
        <v>12562</v>
      </c>
      <c r="E129" s="48">
        <v>0.35299999999999998</v>
      </c>
      <c r="F129" s="153">
        <f t="shared" si="28"/>
        <v>8127.61</v>
      </c>
      <c r="G129" s="173"/>
      <c r="H129" s="148">
        <f t="shared" si="29"/>
        <v>11306</v>
      </c>
      <c r="I129" s="10"/>
      <c r="J129" s="38">
        <v>0.1</v>
      </c>
    </row>
    <row r="130" spans="1:10" ht="15" customHeight="1" x14ac:dyDescent="0.2">
      <c r="A130" s="32" t="s">
        <v>341</v>
      </c>
      <c r="B130" s="117" t="s">
        <v>167</v>
      </c>
      <c r="C130" s="111" t="s">
        <v>164</v>
      </c>
      <c r="D130" s="148">
        <v>11506</v>
      </c>
      <c r="E130" s="48">
        <v>0.35299999999999998</v>
      </c>
      <c r="F130" s="153">
        <f t="shared" si="28"/>
        <v>7444.38</v>
      </c>
      <c r="G130" s="173"/>
      <c r="H130" s="148">
        <f t="shared" si="29"/>
        <v>10355</v>
      </c>
      <c r="I130" s="10"/>
      <c r="J130" s="38">
        <v>0.1</v>
      </c>
    </row>
    <row r="131" spans="1:10" ht="15" customHeight="1" x14ac:dyDescent="0.2">
      <c r="A131" s="32" t="s">
        <v>342</v>
      </c>
      <c r="B131" s="117" t="s">
        <v>167</v>
      </c>
      <c r="C131" s="111" t="s">
        <v>441</v>
      </c>
      <c r="D131" s="148">
        <v>12562</v>
      </c>
      <c r="E131" s="48">
        <v>0.35299999999999998</v>
      </c>
      <c r="F131" s="153">
        <f t="shared" si="28"/>
        <v>8127.61</v>
      </c>
      <c r="G131" s="173"/>
      <c r="H131" s="148">
        <f t="shared" si="29"/>
        <v>11306</v>
      </c>
      <c r="I131" s="10"/>
      <c r="J131" s="38">
        <v>0.1</v>
      </c>
    </row>
    <row r="132" spans="1:10" ht="15" customHeight="1" x14ac:dyDescent="0.2">
      <c r="A132" s="78">
        <v>56394691</v>
      </c>
      <c r="B132" s="116" t="s">
        <v>167</v>
      </c>
      <c r="C132" s="115" t="s">
        <v>439</v>
      </c>
      <c r="D132" s="196">
        <v>14445</v>
      </c>
      <c r="E132" s="193">
        <v>0.35299999999999998</v>
      </c>
      <c r="F132" s="194">
        <f t="shared" si="28"/>
        <v>9345.92</v>
      </c>
      <c r="G132" s="195"/>
      <c r="H132" s="196">
        <f t="shared" si="29"/>
        <v>13001</v>
      </c>
      <c r="I132" s="197"/>
      <c r="J132" s="198">
        <v>0.1</v>
      </c>
    </row>
    <row r="133" spans="1:10" ht="15" customHeight="1" x14ac:dyDescent="0.2">
      <c r="A133" s="32" t="s">
        <v>343</v>
      </c>
      <c r="B133" s="117" t="s">
        <v>168</v>
      </c>
      <c r="C133" s="111" t="s">
        <v>169</v>
      </c>
      <c r="D133" s="148">
        <v>11902</v>
      </c>
      <c r="E133" s="48">
        <v>0.35299999999999998</v>
      </c>
      <c r="F133" s="153">
        <f t="shared" si="28"/>
        <v>7700.59</v>
      </c>
      <c r="G133" s="173"/>
      <c r="H133" s="148">
        <f t="shared" si="29"/>
        <v>10712</v>
      </c>
      <c r="I133" s="10"/>
      <c r="J133" s="38">
        <v>0.1</v>
      </c>
    </row>
    <row r="134" spans="1:10" ht="15" customHeight="1" x14ac:dyDescent="0.2">
      <c r="A134" s="32" t="s">
        <v>344</v>
      </c>
      <c r="B134" s="117" t="s">
        <v>168</v>
      </c>
      <c r="C134" s="111" t="s">
        <v>443</v>
      </c>
      <c r="D134" s="148">
        <v>12959</v>
      </c>
      <c r="E134" s="48">
        <v>0.35299999999999998</v>
      </c>
      <c r="F134" s="153">
        <f t="shared" si="28"/>
        <v>8384.4699999999993</v>
      </c>
      <c r="G134" s="173"/>
      <c r="H134" s="148">
        <f t="shared" si="29"/>
        <v>11663</v>
      </c>
      <c r="I134" s="10"/>
      <c r="J134" s="38">
        <v>0.1</v>
      </c>
    </row>
    <row r="135" spans="1:10" ht="15" customHeight="1" x14ac:dyDescent="0.2">
      <c r="A135" s="78">
        <v>56394692</v>
      </c>
      <c r="B135" s="116" t="s">
        <v>168</v>
      </c>
      <c r="C135" s="115" t="s">
        <v>444</v>
      </c>
      <c r="D135" s="196">
        <v>14900</v>
      </c>
      <c r="E135" s="193">
        <v>0.35299999999999998</v>
      </c>
      <c r="F135" s="194">
        <f t="shared" si="28"/>
        <v>9640.2999999999993</v>
      </c>
      <c r="G135" s="195"/>
      <c r="H135" s="196">
        <f t="shared" si="29"/>
        <v>13410</v>
      </c>
      <c r="I135" s="197"/>
      <c r="J135" s="198">
        <v>0.1</v>
      </c>
    </row>
    <row r="136" spans="1:10" ht="15" customHeight="1" x14ac:dyDescent="0.2">
      <c r="A136" s="9" t="s">
        <v>170</v>
      </c>
      <c r="B136" s="81" t="s">
        <v>171</v>
      </c>
      <c r="C136" s="82" t="s">
        <v>172</v>
      </c>
      <c r="D136" s="148">
        <v>12165</v>
      </c>
      <c r="E136" s="48">
        <v>0.35299999999999998</v>
      </c>
      <c r="F136" s="153">
        <f t="shared" si="28"/>
        <v>7870.76</v>
      </c>
      <c r="G136" s="173"/>
      <c r="H136" s="148">
        <f t="shared" si="29"/>
        <v>10949</v>
      </c>
      <c r="I136" s="10"/>
      <c r="J136" s="38">
        <v>0.1</v>
      </c>
    </row>
    <row r="137" spans="1:10" ht="15" customHeight="1" x14ac:dyDescent="0.2">
      <c r="A137" s="9" t="s">
        <v>173</v>
      </c>
      <c r="B137" s="81" t="s">
        <v>171</v>
      </c>
      <c r="C137" s="82" t="s">
        <v>174</v>
      </c>
      <c r="D137" s="148">
        <v>12959</v>
      </c>
      <c r="E137" s="48">
        <v>0.35299999999999998</v>
      </c>
      <c r="F137" s="153">
        <f t="shared" si="28"/>
        <v>8384.4699999999993</v>
      </c>
      <c r="G137" s="173"/>
      <c r="H137" s="148">
        <f t="shared" si="29"/>
        <v>11663</v>
      </c>
      <c r="I137" s="10"/>
      <c r="J137" s="38">
        <v>0.1</v>
      </c>
    </row>
    <row r="138" spans="1:10" ht="15" customHeight="1" x14ac:dyDescent="0.2">
      <c r="A138" s="9" t="s">
        <v>175</v>
      </c>
      <c r="B138" s="81" t="s">
        <v>176</v>
      </c>
      <c r="C138" s="82" t="s">
        <v>177</v>
      </c>
      <c r="D138" s="148">
        <v>12959</v>
      </c>
      <c r="E138" s="48">
        <v>0.35299999999999998</v>
      </c>
      <c r="F138" s="153">
        <f t="shared" si="28"/>
        <v>8384.4699999999993</v>
      </c>
      <c r="G138" s="173"/>
      <c r="H138" s="148">
        <f t="shared" si="29"/>
        <v>11663</v>
      </c>
      <c r="I138" s="10"/>
      <c r="J138" s="38">
        <v>0.1</v>
      </c>
    </row>
    <row r="139" spans="1:10" ht="15" customHeight="1" x14ac:dyDescent="0.2">
      <c r="A139" s="22" t="s">
        <v>178</v>
      </c>
      <c r="B139" s="83" t="s">
        <v>176</v>
      </c>
      <c r="C139" s="84" t="s">
        <v>179</v>
      </c>
      <c r="D139" s="149">
        <v>13885</v>
      </c>
      <c r="E139" s="57">
        <v>0.35299999999999998</v>
      </c>
      <c r="F139" s="154">
        <f t="shared" si="28"/>
        <v>8983.6</v>
      </c>
      <c r="G139" s="173"/>
      <c r="H139" s="149">
        <f t="shared" si="29"/>
        <v>12497</v>
      </c>
      <c r="I139" s="66"/>
      <c r="J139" s="26">
        <v>0.1</v>
      </c>
    </row>
    <row r="140" spans="1:10" ht="15" customHeight="1" x14ac:dyDescent="0.2">
      <c r="A140" s="13"/>
      <c r="B140" s="142"/>
      <c r="C140" s="91"/>
      <c r="D140" s="152" t="s">
        <v>30</v>
      </c>
      <c r="E140" s="49" t="s">
        <v>30</v>
      </c>
      <c r="F140" s="178"/>
      <c r="G140" s="37"/>
      <c r="H140" s="152"/>
      <c r="I140" s="10"/>
      <c r="J140" s="10"/>
    </row>
    <row r="141" spans="1:10" ht="15" customHeight="1" x14ac:dyDescent="0.2">
      <c r="A141" s="24" t="s">
        <v>180</v>
      </c>
      <c r="B141" s="87"/>
      <c r="C141" s="97"/>
      <c r="D141" s="152" t="s">
        <v>30</v>
      </c>
      <c r="E141" s="57"/>
      <c r="F141" s="183"/>
      <c r="G141" s="37"/>
      <c r="H141" s="152"/>
      <c r="I141" s="10"/>
      <c r="J141" s="10"/>
    </row>
    <row r="142" spans="1:10" ht="15" customHeight="1" x14ac:dyDescent="0.2">
      <c r="A142" s="28" t="s">
        <v>181</v>
      </c>
      <c r="B142" s="89" t="s">
        <v>182</v>
      </c>
      <c r="C142" s="82" t="s">
        <v>183</v>
      </c>
      <c r="D142" s="150">
        <v>14513</v>
      </c>
      <c r="E142" s="56">
        <v>0.35299999999999998</v>
      </c>
      <c r="F142" s="155">
        <f>ROUND(D142*(1-E142),2)</f>
        <v>9389.91</v>
      </c>
      <c r="G142" s="173"/>
      <c r="H142" s="150">
        <f>ROUND(D142*(1-J142),0)</f>
        <v>13062</v>
      </c>
      <c r="I142" s="10"/>
      <c r="J142" s="11">
        <v>0.1</v>
      </c>
    </row>
    <row r="143" spans="1:10" ht="15" customHeight="1" x14ac:dyDescent="0.2">
      <c r="A143" s="9" t="s">
        <v>184</v>
      </c>
      <c r="B143" s="86" t="s">
        <v>182</v>
      </c>
      <c r="C143" s="82" t="s">
        <v>185</v>
      </c>
      <c r="D143" s="148">
        <v>15176</v>
      </c>
      <c r="E143" s="48">
        <v>0.35299999999999998</v>
      </c>
      <c r="F143" s="153">
        <f>ROUND(D143*(1-E143),2)</f>
        <v>9818.8700000000008</v>
      </c>
      <c r="G143" s="173"/>
      <c r="H143" s="148">
        <f>ROUND(D143*(1-J143),0)</f>
        <v>13658</v>
      </c>
      <c r="I143" s="10"/>
      <c r="J143" s="38">
        <v>0.1</v>
      </c>
    </row>
    <row r="144" spans="1:10" ht="15" customHeight="1" x14ac:dyDescent="0.2">
      <c r="A144" s="9" t="s">
        <v>186</v>
      </c>
      <c r="B144" s="86" t="s">
        <v>187</v>
      </c>
      <c r="C144" s="82" t="s">
        <v>183</v>
      </c>
      <c r="D144" s="148">
        <v>14513</v>
      </c>
      <c r="E144" s="48">
        <v>0.35299999999999998</v>
      </c>
      <c r="F144" s="153">
        <f t="shared" ref="F144:F154" si="30">ROUND(D144*(1-E144),2)</f>
        <v>9389.91</v>
      </c>
      <c r="G144" s="173"/>
      <c r="H144" s="148">
        <f t="shared" ref="H144:H154" si="31">ROUND(D144*(1-J144),0)</f>
        <v>13062</v>
      </c>
      <c r="I144" s="10"/>
      <c r="J144" s="38">
        <v>0.1</v>
      </c>
    </row>
    <row r="145" spans="1:10" ht="15" customHeight="1" x14ac:dyDescent="0.2">
      <c r="A145" s="9" t="s">
        <v>188</v>
      </c>
      <c r="B145" s="86" t="s">
        <v>187</v>
      </c>
      <c r="C145" s="82" t="s">
        <v>185</v>
      </c>
      <c r="D145" s="148">
        <v>15176</v>
      </c>
      <c r="E145" s="48">
        <v>0.35299999999999998</v>
      </c>
      <c r="F145" s="153">
        <f t="shared" si="30"/>
        <v>9818.8700000000008</v>
      </c>
      <c r="G145" s="173"/>
      <c r="H145" s="148">
        <f t="shared" si="31"/>
        <v>13658</v>
      </c>
      <c r="I145" s="10"/>
      <c r="J145" s="38">
        <v>0.1</v>
      </c>
    </row>
    <row r="146" spans="1:10" ht="15" customHeight="1" x14ac:dyDescent="0.2">
      <c r="A146" s="9" t="s">
        <v>189</v>
      </c>
      <c r="B146" s="86" t="s">
        <v>187</v>
      </c>
      <c r="C146" s="82" t="s">
        <v>190</v>
      </c>
      <c r="D146" s="148">
        <v>15576</v>
      </c>
      <c r="E146" s="48">
        <v>0.35299999999999998</v>
      </c>
      <c r="F146" s="153">
        <f t="shared" si="30"/>
        <v>10077.67</v>
      </c>
      <c r="G146" s="173"/>
      <c r="H146" s="148">
        <f t="shared" si="31"/>
        <v>14018</v>
      </c>
      <c r="I146" s="10"/>
      <c r="J146" s="38">
        <v>0.1</v>
      </c>
    </row>
    <row r="147" spans="1:10" ht="15" customHeight="1" x14ac:dyDescent="0.2">
      <c r="A147" s="9" t="s">
        <v>191</v>
      </c>
      <c r="B147" s="86" t="s">
        <v>187</v>
      </c>
      <c r="C147" s="82" t="s">
        <v>192</v>
      </c>
      <c r="D147" s="148">
        <v>16239</v>
      </c>
      <c r="E147" s="48">
        <v>0.35299999999999998</v>
      </c>
      <c r="F147" s="153">
        <f t="shared" si="30"/>
        <v>10506.63</v>
      </c>
      <c r="G147" s="173"/>
      <c r="H147" s="148">
        <f t="shared" si="31"/>
        <v>14615</v>
      </c>
      <c r="I147" s="10"/>
      <c r="J147" s="38">
        <v>0.1</v>
      </c>
    </row>
    <row r="148" spans="1:10" ht="15" customHeight="1" x14ac:dyDescent="0.2">
      <c r="A148" s="9" t="s">
        <v>193</v>
      </c>
      <c r="B148" s="86" t="s">
        <v>187</v>
      </c>
      <c r="C148" s="82" t="s">
        <v>194</v>
      </c>
      <c r="D148" s="148">
        <v>14646</v>
      </c>
      <c r="E148" s="48">
        <v>0.35299999999999998</v>
      </c>
      <c r="F148" s="153">
        <f t="shared" si="30"/>
        <v>9475.9599999999991</v>
      </c>
      <c r="G148" s="173"/>
      <c r="H148" s="148">
        <f t="shared" si="31"/>
        <v>13181</v>
      </c>
      <c r="I148" s="10"/>
      <c r="J148" s="38">
        <v>0.1</v>
      </c>
    </row>
    <row r="149" spans="1:10" ht="15" customHeight="1" x14ac:dyDescent="0.2">
      <c r="A149" s="9" t="s">
        <v>195</v>
      </c>
      <c r="B149" s="86" t="s">
        <v>187</v>
      </c>
      <c r="C149" s="82" t="s">
        <v>196</v>
      </c>
      <c r="D149" s="148">
        <v>15310</v>
      </c>
      <c r="E149" s="48">
        <v>0.35299999999999998</v>
      </c>
      <c r="F149" s="153">
        <f t="shared" si="30"/>
        <v>9905.57</v>
      </c>
      <c r="G149" s="173"/>
      <c r="H149" s="148">
        <f t="shared" si="31"/>
        <v>13779</v>
      </c>
      <c r="I149" s="10"/>
      <c r="J149" s="38">
        <v>0.1</v>
      </c>
    </row>
    <row r="150" spans="1:10" ht="15" customHeight="1" x14ac:dyDescent="0.2">
      <c r="A150" s="9" t="s">
        <v>197</v>
      </c>
      <c r="B150" s="86" t="s">
        <v>187</v>
      </c>
      <c r="C150" s="82" t="s">
        <v>198</v>
      </c>
      <c r="D150" s="148">
        <v>17696</v>
      </c>
      <c r="E150" s="48">
        <v>0.35299999999999998</v>
      </c>
      <c r="F150" s="153">
        <f t="shared" si="30"/>
        <v>11449.31</v>
      </c>
      <c r="G150" s="173"/>
      <c r="H150" s="148">
        <f t="shared" si="31"/>
        <v>15926</v>
      </c>
      <c r="I150" s="10"/>
      <c r="J150" s="38">
        <v>0.1</v>
      </c>
    </row>
    <row r="151" spans="1:10" ht="15" customHeight="1" x14ac:dyDescent="0.2">
      <c r="A151" s="9" t="s">
        <v>199</v>
      </c>
      <c r="B151" s="86" t="s">
        <v>187</v>
      </c>
      <c r="C151" s="82" t="s">
        <v>200</v>
      </c>
      <c r="D151" s="148">
        <v>15709</v>
      </c>
      <c r="E151" s="48">
        <v>0.35299999999999998</v>
      </c>
      <c r="F151" s="153">
        <f t="shared" si="30"/>
        <v>10163.719999999999</v>
      </c>
      <c r="G151" s="173"/>
      <c r="H151" s="148">
        <f t="shared" si="31"/>
        <v>14138</v>
      </c>
      <c r="I151" s="10"/>
      <c r="J151" s="38">
        <v>0.1</v>
      </c>
    </row>
    <row r="152" spans="1:10" ht="15" customHeight="1" x14ac:dyDescent="0.2">
      <c r="A152" s="9" t="s">
        <v>201</v>
      </c>
      <c r="B152" s="86" t="s">
        <v>187</v>
      </c>
      <c r="C152" s="82" t="s">
        <v>202</v>
      </c>
      <c r="D152" s="148">
        <v>16372</v>
      </c>
      <c r="E152" s="48">
        <v>0.35299999999999998</v>
      </c>
      <c r="F152" s="153">
        <f t="shared" si="30"/>
        <v>10592.68</v>
      </c>
      <c r="G152" s="173"/>
      <c r="H152" s="148">
        <f t="shared" si="31"/>
        <v>14735</v>
      </c>
      <c r="I152" s="10"/>
      <c r="J152" s="38">
        <v>0.1</v>
      </c>
    </row>
    <row r="153" spans="1:10" ht="15" customHeight="1" x14ac:dyDescent="0.2">
      <c r="A153" s="9" t="s">
        <v>203</v>
      </c>
      <c r="B153" s="86" t="s">
        <v>187</v>
      </c>
      <c r="C153" s="82" t="s">
        <v>204</v>
      </c>
      <c r="D153" s="148">
        <v>18760</v>
      </c>
      <c r="E153" s="48">
        <v>0.35299999999999998</v>
      </c>
      <c r="F153" s="153">
        <f t="shared" si="30"/>
        <v>12137.72</v>
      </c>
      <c r="G153" s="173"/>
      <c r="H153" s="148">
        <f t="shared" si="31"/>
        <v>16884</v>
      </c>
      <c r="I153" s="10"/>
      <c r="J153" s="38">
        <v>0.1</v>
      </c>
    </row>
    <row r="154" spans="1:10" ht="15" customHeight="1" x14ac:dyDescent="0.2">
      <c r="A154" s="9" t="s">
        <v>205</v>
      </c>
      <c r="B154" s="86" t="s">
        <v>206</v>
      </c>
      <c r="C154" s="82" t="s">
        <v>194</v>
      </c>
      <c r="D154" s="148">
        <v>15965</v>
      </c>
      <c r="E154" s="48">
        <v>0.35299999999999998</v>
      </c>
      <c r="F154" s="153">
        <f t="shared" si="30"/>
        <v>10329.36</v>
      </c>
      <c r="G154" s="173"/>
      <c r="H154" s="148">
        <f t="shared" si="31"/>
        <v>14369</v>
      </c>
      <c r="I154" s="10"/>
      <c r="J154" s="38">
        <v>0.1</v>
      </c>
    </row>
    <row r="155" spans="1:10" ht="15" customHeight="1" x14ac:dyDescent="0.2">
      <c r="A155" s="9" t="s">
        <v>207</v>
      </c>
      <c r="B155" s="86" t="s">
        <v>206</v>
      </c>
      <c r="C155" s="82" t="s">
        <v>196</v>
      </c>
      <c r="D155" s="148">
        <v>16629</v>
      </c>
      <c r="E155" s="48">
        <v>0.35299999999999998</v>
      </c>
      <c r="F155" s="153">
        <f t="shared" ref="F155:F168" si="32">ROUND(D155*(1-E155),2)</f>
        <v>10758.96</v>
      </c>
      <c r="G155" s="173"/>
      <c r="H155" s="148">
        <f t="shared" ref="H155:H168" si="33">ROUND(D155*(1-J155),0)</f>
        <v>14966</v>
      </c>
      <c r="I155" s="10"/>
      <c r="J155" s="38">
        <v>0.1</v>
      </c>
    </row>
    <row r="156" spans="1:10" ht="15" customHeight="1" x14ac:dyDescent="0.2">
      <c r="A156" s="9" t="s">
        <v>208</v>
      </c>
      <c r="B156" s="86" t="s">
        <v>206</v>
      </c>
      <c r="C156" s="82" t="s">
        <v>198</v>
      </c>
      <c r="D156" s="148">
        <v>19015</v>
      </c>
      <c r="E156" s="48">
        <v>0.35299999999999998</v>
      </c>
      <c r="F156" s="153">
        <f t="shared" si="32"/>
        <v>12302.71</v>
      </c>
      <c r="G156" s="173"/>
      <c r="H156" s="148">
        <f t="shared" si="33"/>
        <v>17114</v>
      </c>
      <c r="I156" s="10"/>
      <c r="J156" s="38">
        <v>0.1</v>
      </c>
    </row>
    <row r="157" spans="1:10" ht="15" customHeight="1" x14ac:dyDescent="0.2">
      <c r="A157" s="9" t="s">
        <v>209</v>
      </c>
      <c r="B157" s="86" t="s">
        <v>206</v>
      </c>
      <c r="C157" s="82" t="s">
        <v>200</v>
      </c>
      <c r="D157" s="148">
        <v>17028</v>
      </c>
      <c r="E157" s="48">
        <v>0.35299999999999998</v>
      </c>
      <c r="F157" s="153">
        <f t="shared" si="32"/>
        <v>11017.12</v>
      </c>
      <c r="G157" s="173"/>
      <c r="H157" s="148">
        <f t="shared" si="33"/>
        <v>15325</v>
      </c>
      <c r="I157" s="10"/>
      <c r="J157" s="38">
        <v>0.1</v>
      </c>
    </row>
    <row r="158" spans="1:10" ht="15" customHeight="1" x14ac:dyDescent="0.2">
      <c r="A158" s="9" t="s">
        <v>210</v>
      </c>
      <c r="B158" s="86" t="s">
        <v>206</v>
      </c>
      <c r="C158" s="82" t="s">
        <v>202</v>
      </c>
      <c r="D158" s="148">
        <v>17692</v>
      </c>
      <c r="E158" s="48">
        <v>0.35299999999999998</v>
      </c>
      <c r="F158" s="153">
        <f t="shared" si="32"/>
        <v>11446.72</v>
      </c>
      <c r="G158" s="173"/>
      <c r="H158" s="148">
        <f t="shared" si="33"/>
        <v>15923</v>
      </c>
      <c r="I158" s="10"/>
      <c r="J158" s="38">
        <v>0.1</v>
      </c>
    </row>
    <row r="159" spans="1:10" ht="15" customHeight="1" x14ac:dyDescent="0.2">
      <c r="A159" s="9" t="s">
        <v>211</v>
      </c>
      <c r="B159" s="86" t="s">
        <v>206</v>
      </c>
      <c r="C159" s="82" t="s">
        <v>204</v>
      </c>
      <c r="D159" s="148">
        <v>20078</v>
      </c>
      <c r="E159" s="48">
        <v>0.35299999999999998</v>
      </c>
      <c r="F159" s="153">
        <f t="shared" si="32"/>
        <v>12990.47</v>
      </c>
      <c r="G159" s="173"/>
      <c r="H159" s="148">
        <f t="shared" si="33"/>
        <v>18070</v>
      </c>
      <c r="I159" s="10"/>
      <c r="J159" s="38">
        <v>0.1</v>
      </c>
    </row>
    <row r="160" spans="1:10" ht="15" customHeight="1" x14ac:dyDescent="0.2">
      <c r="A160" s="9" t="s">
        <v>212</v>
      </c>
      <c r="B160" s="86" t="s">
        <v>213</v>
      </c>
      <c r="C160" s="82" t="s">
        <v>214</v>
      </c>
      <c r="D160" s="148">
        <v>16547</v>
      </c>
      <c r="E160" s="48">
        <v>0.35299999999999998</v>
      </c>
      <c r="F160" s="153">
        <f t="shared" si="32"/>
        <v>10705.91</v>
      </c>
      <c r="G160" s="173"/>
      <c r="H160" s="148">
        <f t="shared" si="33"/>
        <v>14892</v>
      </c>
      <c r="I160" s="10"/>
      <c r="J160" s="38">
        <v>0.1</v>
      </c>
    </row>
    <row r="161" spans="1:10" ht="15" customHeight="1" x14ac:dyDescent="0.2">
      <c r="A161" s="9" t="s">
        <v>215</v>
      </c>
      <c r="B161" s="86" t="s">
        <v>213</v>
      </c>
      <c r="C161" s="82" t="s">
        <v>216</v>
      </c>
      <c r="D161" s="148">
        <v>17209</v>
      </c>
      <c r="E161" s="48">
        <v>0.35299999999999998</v>
      </c>
      <c r="F161" s="153">
        <f t="shared" si="32"/>
        <v>11134.22</v>
      </c>
      <c r="G161" s="173"/>
      <c r="H161" s="148">
        <f t="shared" si="33"/>
        <v>15488</v>
      </c>
      <c r="I161" s="10"/>
      <c r="J161" s="38">
        <v>0.1</v>
      </c>
    </row>
    <row r="162" spans="1:10" ht="15" customHeight="1" x14ac:dyDescent="0.2">
      <c r="A162" s="9" t="s">
        <v>217</v>
      </c>
      <c r="B162" s="86" t="s">
        <v>213</v>
      </c>
      <c r="C162" s="82" t="s">
        <v>218</v>
      </c>
      <c r="D162" s="148">
        <v>19596</v>
      </c>
      <c r="E162" s="48">
        <v>0.35299999999999998</v>
      </c>
      <c r="F162" s="153">
        <f t="shared" si="32"/>
        <v>12678.61</v>
      </c>
      <c r="G162" s="173"/>
      <c r="H162" s="148">
        <f t="shared" si="33"/>
        <v>17636</v>
      </c>
      <c r="I162" s="10"/>
      <c r="J162" s="38">
        <v>0.1</v>
      </c>
    </row>
    <row r="163" spans="1:10" ht="15" customHeight="1" x14ac:dyDescent="0.2">
      <c r="A163" s="9" t="s">
        <v>219</v>
      </c>
      <c r="B163" s="86" t="s">
        <v>213</v>
      </c>
      <c r="C163" s="82" t="s">
        <v>220</v>
      </c>
      <c r="D163" s="148">
        <v>17607</v>
      </c>
      <c r="E163" s="48">
        <v>0.35299999999999998</v>
      </c>
      <c r="F163" s="153">
        <f t="shared" si="32"/>
        <v>11391.73</v>
      </c>
      <c r="G163" s="173"/>
      <c r="H163" s="148">
        <f t="shared" si="33"/>
        <v>15846</v>
      </c>
      <c r="I163" s="10"/>
      <c r="J163" s="38">
        <v>0.1</v>
      </c>
    </row>
    <row r="164" spans="1:10" ht="15" customHeight="1" x14ac:dyDescent="0.2">
      <c r="A164" s="9" t="s">
        <v>221</v>
      </c>
      <c r="B164" s="86" t="s">
        <v>213</v>
      </c>
      <c r="C164" s="82" t="s">
        <v>222</v>
      </c>
      <c r="D164" s="148">
        <v>18271</v>
      </c>
      <c r="E164" s="48">
        <v>0.35299999999999998</v>
      </c>
      <c r="F164" s="153">
        <f t="shared" si="32"/>
        <v>11821.34</v>
      </c>
      <c r="G164" s="173"/>
      <c r="H164" s="148">
        <f t="shared" si="33"/>
        <v>16444</v>
      </c>
      <c r="I164" s="10"/>
      <c r="J164" s="38">
        <v>0.1</v>
      </c>
    </row>
    <row r="165" spans="1:10" ht="15" customHeight="1" x14ac:dyDescent="0.2">
      <c r="A165" s="9" t="s">
        <v>223</v>
      </c>
      <c r="B165" s="86" t="s">
        <v>213</v>
      </c>
      <c r="C165" s="82" t="s">
        <v>224</v>
      </c>
      <c r="D165" s="148">
        <v>20658</v>
      </c>
      <c r="E165" s="48">
        <v>0.35299999999999998</v>
      </c>
      <c r="F165" s="153">
        <f t="shared" si="32"/>
        <v>13365.73</v>
      </c>
      <c r="G165" s="173"/>
      <c r="H165" s="148">
        <f t="shared" si="33"/>
        <v>18592</v>
      </c>
      <c r="I165" s="10"/>
      <c r="J165" s="38">
        <v>0.1</v>
      </c>
    </row>
    <row r="166" spans="1:10" ht="15" customHeight="1" x14ac:dyDescent="0.2">
      <c r="A166" s="9" t="s">
        <v>225</v>
      </c>
      <c r="B166" s="86" t="s">
        <v>226</v>
      </c>
      <c r="C166" s="82" t="s">
        <v>200</v>
      </c>
      <c r="D166" s="148">
        <v>16836</v>
      </c>
      <c r="E166" s="48">
        <v>0.35299999999999998</v>
      </c>
      <c r="F166" s="153">
        <f t="shared" si="32"/>
        <v>10892.89</v>
      </c>
      <c r="G166" s="173"/>
      <c r="H166" s="148">
        <f t="shared" si="33"/>
        <v>15152</v>
      </c>
      <c r="I166" s="10"/>
      <c r="J166" s="38">
        <v>0.1</v>
      </c>
    </row>
    <row r="167" spans="1:10" ht="15" customHeight="1" x14ac:dyDescent="0.2">
      <c r="A167" s="9" t="s">
        <v>227</v>
      </c>
      <c r="B167" s="86" t="s">
        <v>226</v>
      </c>
      <c r="C167" s="82" t="s">
        <v>202</v>
      </c>
      <c r="D167" s="148">
        <v>17498</v>
      </c>
      <c r="E167" s="48">
        <v>0.35299999999999998</v>
      </c>
      <c r="F167" s="153">
        <f t="shared" si="32"/>
        <v>11321.21</v>
      </c>
      <c r="G167" s="173"/>
      <c r="H167" s="148">
        <f t="shared" si="33"/>
        <v>15748</v>
      </c>
      <c r="I167" s="10"/>
      <c r="J167" s="38">
        <v>0.1</v>
      </c>
    </row>
    <row r="168" spans="1:10" ht="15" customHeight="1" x14ac:dyDescent="0.2">
      <c r="A168" s="22" t="s">
        <v>228</v>
      </c>
      <c r="B168" s="87" t="s">
        <v>226</v>
      </c>
      <c r="C168" s="84" t="s">
        <v>204</v>
      </c>
      <c r="D168" s="149">
        <v>19887</v>
      </c>
      <c r="E168" s="57">
        <v>0.35299999999999998</v>
      </c>
      <c r="F168" s="154">
        <f t="shared" si="32"/>
        <v>12866.89</v>
      </c>
      <c r="G168" s="173"/>
      <c r="H168" s="149">
        <f t="shared" si="33"/>
        <v>17898</v>
      </c>
      <c r="I168" s="10"/>
      <c r="J168" s="26">
        <v>0.1</v>
      </c>
    </row>
    <row r="169" spans="1:10" ht="15" customHeight="1" x14ac:dyDescent="0.2">
      <c r="A169" s="32"/>
      <c r="B169" s="117"/>
      <c r="C169" s="118"/>
      <c r="D169" s="152" t="s">
        <v>30</v>
      </c>
      <c r="E169" s="48"/>
      <c r="F169" s="152"/>
      <c r="G169" s="37"/>
      <c r="H169" s="152"/>
      <c r="I169" s="10"/>
      <c r="J169" s="10"/>
    </row>
    <row r="170" spans="1:10" ht="15" customHeight="1" x14ac:dyDescent="0.2">
      <c r="A170" s="24" t="s">
        <v>229</v>
      </c>
      <c r="B170" s="87"/>
      <c r="C170" s="97"/>
      <c r="D170" s="152" t="s">
        <v>30</v>
      </c>
      <c r="E170" s="57"/>
      <c r="F170" s="183"/>
      <c r="G170" s="37"/>
      <c r="H170" s="152"/>
      <c r="I170" s="10"/>
      <c r="J170" s="10"/>
    </row>
    <row r="171" spans="1:10" ht="15" customHeight="1" x14ac:dyDescent="0.2">
      <c r="A171" s="28" t="s">
        <v>230</v>
      </c>
      <c r="B171" s="89" t="s">
        <v>231</v>
      </c>
      <c r="C171" s="90" t="s">
        <v>183</v>
      </c>
      <c r="D171" s="150">
        <v>17126</v>
      </c>
      <c r="E171" s="56">
        <v>0.35299999999999998</v>
      </c>
      <c r="F171" s="155">
        <f>ROUND(D171*(1-E171),2)</f>
        <v>11080.52</v>
      </c>
      <c r="G171" s="173"/>
      <c r="H171" s="150">
        <f>ROUND(D171*(1-J171),0)</f>
        <v>15413</v>
      </c>
      <c r="I171" s="10"/>
      <c r="J171" s="11">
        <v>0.1</v>
      </c>
    </row>
    <row r="172" spans="1:10" ht="15" customHeight="1" x14ac:dyDescent="0.2">
      <c r="A172" s="9" t="s">
        <v>232</v>
      </c>
      <c r="B172" s="86" t="s">
        <v>231</v>
      </c>
      <c r="C172" s="82" t="s">
        <v>185</v>
      </c>
      <c r="D172" s="148">
        <v>17791</v>
      </c>
      <c r="E172" s="48">
        <v>0.35299999999999998</v>
      </c>
      <c r="F172" s="153">
        <f>ROUND(D172*(1-E172),2)</f>
        <v>11510.78</v>
      </c>
      <c r="G172" s="173"/>
      <c r="H172" s="148">
        <f>ROUND(D172*(1-J172),0)</f>
        <v>16012</v>
      </c>
      <c r="I172" s="10"/>
      <c r="J172" s="38">
        <v>0.1</v>
      </c>
    </row>
    <row r="173" spans="1:10" ht="15" customHeight="1" x14ac:dyDescent="0.2">
      <c r="A173" s="9" t="s">
        <v>233</v>
      </c>
      <c r="B173" s="86" t="s">
        <v>234</v>
      </c>
      <c r="C173" s="82" t="s">
        <v>196</v>
      </c>
      <c r="D173" s="148">
        <v>17998</v>
      </c>
      <c r="E173" s="48">
        <v>0.35299999999999998</v>
      </c>
      <c r="F173" s="153">
        <f t="shared" ref="F173" si="34">ROUND(D173*(1-E173),2)</f>
        <v>11644.71</v>
      </c>
      <c r="G173" s="173"/>
      <c r="H173" s="148">
        <f t="shared" ref="H173" si="35">ROUND(D173*(1-J173),0)</f>
        <v>16198</v>
      </c>
      <c r="I173" s="10"/>
      <c r="J173" s="38">
        <v>0.1</v>
      </c>
    </row>
    <row r="174" spans="1:10" ht="15" customHeight="1" x14ac:dyDescent="0.2">
      <c r="A174" s="9" t="s">
        <v>235</v>
      </c>
      <c r="B174" s="86" t="s">
        <v>234</v>
      </c>
      <c r="C174" s="82" t="s">
        <v>198</v>
      </c>
      <c r="D174" s="148">
        <v>20384</v>
      </c>
      <c r="E174" s="48">
        <v>0.35299999999999998</v>
      </c>
      <c r="F174" s="153">
        <f t="shared" ref="F174:F176" si="36">ROUND(D174*(1-E174),2)</f>
        <v>13188.45</v>
      </c>
      <c r="G174" s="173"/>
      <c r="H174" s="148">
        <f t="shared" ref="H174:H176" si="37">ROUND(D174*(1-J174),0)</f>
        <v>18346</v>
      </c>
      <c r="I174" s="10"/>
      <c r="J174" s="38">
        <v>0.1</v>
      </c>
    </row>
    <row r="175" spans="1:10" ht="15" customHeight="1" x14ac:dyDescent="0.2">
      <c r="A175" s="9" t="s">
        <v>236</v>
      </c>
      <c r="B175" s="86" t="s">
        <v>234</v>
      </c>
      <c r="C175" s="82" t="s">
        <v>202</v>
      </c>
      <c r="D175" s="148">
        <v>19057</v>
      </c>
      <c r="E175" s="48">
        <v>0.35299999999999998</v>
      </c>
      <c r="F175" s="153">
        <f t="shared" si="36"/>
        <v>12329.88</v>
      </c>
      <c r="G175" s="173"/>
      <c r="H175" s="148">
        <f t="shared" si="37"/>
        <v>17151</v>
      </c>
      <c r="I175" s="10"/>
      <c r="J175" s="38">
        <v>0.1</v>
      </c>
    </row>
    <row r="176" spans="1:10" ht="15" customHeight="1" x14ac:dyDescent="0.2">
      <c r="A176" s="22" t="s">
        <v>237</v>
      </c>
      <c r="B176" s="87" t="s">
        <v>234</v>
      </c>
      <c r="C176" s="84" t="s">
        <v>204</v>
      </c>
      <c r="D176" s="149">
        <v>21444</v>
      </c>
      <c r="E176" s="57">
        <v>0.35299999999999998</v>
      </c>
      <c r="F176" s="154">
        <f t="shared" si="36"/>
        <v>13874.27</v>
      </c>
      <c r="G176" s="173"/>
      <c r="H176" s="149">
        <f t="shared" si="37"/>
        <v>19300</v>
      </c>
      <c r="I176" s="10"/>
      <c r="J176" s="26">
        <v>0.1</v>
      </c>
    </row>
    <row r="177" spans="1:10" ht="15" customHeight="1" x14ac:dyDescent="0.2">
      <c r="A177" s="33"/>
      <c r="B177" s="67"/>
      <c r="C177" s="119"/>
      <c r="D177" s="152" t="s">
        <v>30</v>
      </c>
      <c r="E177" s="58"/>
      <c r="F177" s="184"/>
      <c r="G177" s="37"/>
      <c r="H177" s="152"/>
      <c r="I177" s="10"/>
    </row>
    <row r="178" spans="1:10" ht="15" customHeight="1" x14ac:dyDescent="0.2">
      <c r="A178" s="35" t="s">
        <v>372</v>
      </c>
      <c r="B178" s="67"/>
      <c r="C178" s="119"/>
      <c r="D178" s="152" t="s">
        <v>30</v>
      </c>
      <c r="E178" s="58"/>
      <c r="F178" s="184"/>
      <c r="G178" s="37"/>
      <c r="H178" s="152"/>
      <c r="I178" s="10"/>
    </row>
    <row r="179" spans="1:10" ht="15" customHeight="1" x14ac:dyDescent="0.2">
      <c r="A179" s="28" t="s">
        <v>383</v>
      </c>
      <c r="B179" s="89" t="s">
        <v>366</v>
      </c>
      <c r="C179" s="90" t="s">
        <v>403</v>
      </c>
      <c r="D179" s="150">
        <v>15849</v>
      </c>
      <c r="E179" s="56">
        <v>0.35299999999999998</v>
      </c>
      <c r="F179" s="155">
        <f>ROUND(D179*(1-E179),2)</f>
        <v>10254.299999999999</v>
      </c>
      <c r="G179" s="173"/>
      <c r="H179" s="150">
        <f>ROUND(D179*(1-J179),0)</f>
        <v>14264</v>
      </c>
      <c r="I179" s="10"/>
      <c r="J179" s="11">
        <v>0.1</v>
      </c>
    </row>
    <row r="180" spans="1:10" ht="15" customHeight="1" x14ac:dyDescent="0.2">
      <c r="A180" s="9" t="s">
        <v>384</v>
      </c>
      <c r="B180" s="86" t="s">
        <v>367</v>
      </c>
      <c r="C180" s="82" t="s">
        <v>404</v>
      </c>
      <c r="D180" s="148">
        <v>17110</v>
      </c>
      <c r="E180" s="48">
        <v>0.35299999999999998</v>
      </c>
      <c r="F180" s="153">
        <f>ROUND(D180*(1-E180),2)</f>
        <v>11070.17</v>
      </c>
      <c r="G180" s="173"/>
      <c r="H180" s="148">
        <f>ROUND(D180*(1-J180),0)</f>
        <v>15399</v>
      </c>
      <c r="I180" s="10"/>
      <c r="J180" s="38">
        <v>0.1</v>
      </c>
    </row>
    <row r="181" spans="1:10" ht="15" customHeight="1" x14ac:dyDescent="0.2">
      <c r="A181" s="9" t="s">
        <v>385</v>
      </c>
      <c r="B181" s="86" t="s">
        <v>366</v>
      </c>
      <c r="C181" s="82" t="s">
        <v>238</v>
      </c>
      <c r="D181" s="148">
        <v>16329</v>
      </c>
      <c r="E181" s="48">
        <v>0.35299999999999998</v>
      </c>
      <c r="F181" s="153">
        <f t="shared" ref="F181:F196" si="38">ROUND(D181*(1-E181),2)</f>
        <v>10564.86</v>
      </c>
      <c r="G181" s="173"/>
      <c r="H181" s="148">
        <f t="shared" ref="H181:H196" si="39">ROUND(D181*(1-J181),0)</f>
        <v>14696</v>
      </c>
      <c r="I181" s="10"/>
      <c r="J181" s="38">
        <v>0.1</v>
      </c>
    </row>
    <row r="182" spans="1:10" ht="15" customHeight="1" x14ac:dyDescent="0.2">
      <c r="A182" s="9" t="s">
        <v>386</v>
      </c>
      <c r="B182" s="86" t="s">
        <v>367</v>
      </c>
      <c r="C182" s="82" t="s">
        <v>242</v>
      </c>
      <c r="D182" s="148">
        <v>17588</v>
      </c>
      <c r="E182" s="48">
        <v>0.35299999999999998</v>
      </c>
      <c r="F182" s="153">
        <f t="shared" si="38"/>
        <v>11379.44</v>
      </c>
      <c r="G182" s="173"/>
      <c r="H182" s="148">
        <f t="shared" si="39"/>
        <v>15829</v>
      </c>
      <c r="I182" s="10"/>
      <c r="J182" s="38">
        <v>0.1</v>
      </c>
    </row>
    <row r="183" spans="1:10" ht="15" customHeight="1" x14ac:dyDescent="0.2">
      <c r="A183" s="9" t="s">
        <v>387</v>
      </c>
      <c r="B183" s="86" t="s">
        <v>368</v>
      </c>
      <c r="C183" s="82" t="s">
        <v>239</v>
      </c>
      <c r="D183" s="148">
        <v>16022</v>
      </c>
      <c r="E183" s="48">
        <v>0.35299999999999998</v>
      </c>
      <c r="F183" s="153">
        <f t="shared" si="38"/>
        <v>10366.23</v>
      </c>
      <c r="G183" s="173"/>
      <c r="H183" s="148">
        <f t="shared" si="39"/>
        <v>14420</v>
      </c>
      <c r="I183" s="10"/>
      <c r="J183" s="38">
        <v>0.1</v>
      </c>
    </row>
    <row r="184" spans="1:10" ht="15" customHeight="1" x14ac:dyDescent="0.2">
      <c r="A184" s="9" t="s">
        <v>388</v>
      </c>
      <c r="B184" s="86" t="s">
        <v>368</v>
      </c>
      <c r="C184" s="82" t="s">
        <v>238</v>
      </c>
      <c r="D184" s="148">
        <v>16502</v>
      </c>
      <c r="E184" s="48">
        <v>0.35299999999999998</v>
      </c>
      <c r="F184" s="153">
        <f t="shared" si="38"/>
        <v>10676.79</v>
      </c>
      <c r="G184" s="173"/>
      <c r="H184" s="148">
        <f t="shared" si="39"/>
        <v>14852</v>
      </c>
      <c r="I184" s="10"/>
      <c r="J184" s="38">
        <v>0.1</v>
      </c>
    </row>
    <row r="185" spans="1:10" ht="15" customHeight="1" x14ac:dyDescent="0.2">
      <c r="A185" s="9" t="s">
        <v>389</v>
      </c>
      <c r="B185" s="86" t="s">
        <v>368</v>
      </c>
      <c r="C185" s="82" t="s">
        <v>240</v>
      </c>
      <c r="D185" s="148">
        <v>16742</v>
      </c>
      <c r="E185" s="48">
        <v>0.35299999999999998</v>
      </c>
      <c r="F185" s="153">
        <f t="shared" si="38"/>
        <v>10832.07</v>
      </c>
      <c r="G185" s="173"/>
      <c r="H185" s="148">
        <f t="shared" si="39"/>
        <v>15068</v>
      </c>
      <c r="I185" s="10"/>
      <c r="J185" s="38">
        <v>0.1</v>
      </c>
    </row>
    <row r="186" spans="1:10" ht="15" customHeight="1" x14ac:dyDescent="0.2">
      <c r="A186" s="9" t="s">
        <v>381</v>
      </c>
      <c r="B186" s="86" t="s">
        <v>368</v>
      </c>
      <c r="C186" s="96" t="s">
        <v>382</v>
      </c>
      <c r="D186" s="148">
        <v>20473</v>
      </c>
      <c r="E186" s="48">
        <v>0.35299999999999998</v>
      </c>
      <c r="F186" s="153">
        <f>ROUND(D186*(1-E186),2)</f>
        <v>13246.03</v>
      </c>
      <c r="G186" s="173"/>
      <c r="H186" s="148">
        <f>ROUND(D186*(1-J186),0)</f>
        <v>18426</v>
      </c>
      <c r="I186" s="10"/>
      <c r="J186" s="38">
        <v>0.1</v>
      </c>
    </row>
    <row r="187" spans="1:10" ht="15" customHeight="1" x14ac:dyDescent="0.2">
      <c r="A187" s="9" t="s">
        <v>390</v>
      </c>
      <c r="B187" s="86" t="s">
        <v>369</v>
      </c>
      <c r="C187" s="82" t="s">
        <v>241</v>
      </c>
      <c r="D187" s="148">
        <v>17281</v>
      </c>
      <c r="E187" s="48">
        <v>0.35299999999999998</v>
      </c>
      <c r="F187" s="153">
        <f t="shared" si="38"/>
        <v>11180.81</v>
      </c>
      <c r="G187" s="173"/>
      <c r="H187" s="148">
        <f t="shared" si="39"/>
        <v>15553</v>
      </c>
      <c r="I187" s="10"/>
      <c r="J187" s="38">
        <v>0.1</v>
      </c>
    </row>
    <row r="188" spans="1:10" ht="15" customHeight="1" x14ac:dyDescent="0.2">
      <c r="A188" s="9" t="s">
        <v>391</v>
      </c>
      <c r="B188" s="86" t="s">
        <v>369</v>
      </c>
      <c r="C188" s="82" t="s">
        <v>242</v>
      </c>
      <c r="D188" s="148">
        <v>17763</v>
      </c>
      <c r="E188" s="48">
        <v>0.35299999999999998</v>
      </c>
      <c r="F188" s="153">
        <f t="shared" si="38"/>
        <v>11492.66</v>
      </c>
      <c r="G188" s="173"/>
      <c r="H188" s="148">
        <f t="shared" si="39"/>
        <v>15987</v>
      </c>
      <c r="I188" s="10"/>
      <c r="J188" s="38">
        <v>0.1</v>
      </c>
    </row>
    <row r="189" spans="1:10" ht="15" customHeight="1" x14ac:dyDescent="0.2">
      <c r="A189" s="9" t="s">
        <v>392</v>
      </c>
      <c r="B189" s="86" t="s">
        <v>369</v>
      </c>
      <c r="C189" s="82" t="s">
        <v>243</v>
      </c>
      <c r="D189" s="148">
        <v>17763</v>
      </c>
      <c r="E189" s="48">
        <v>0.35299999999999998</v>
      </c>
      <c r="F189" s="153">
        <f t="shared" si="38"/>
        <v>11492.66</v>
      </c>
      <c r="G189" s="173"/>
      <c r="H189" s="148">
        <f t="shared" si="39"/>
        <v>15987</v>
      </c>
      <c r="I189" s="10"/>
      <c r="J189" s="38">
        <v>0.1</v>
      </c>
    </row>
    <row r="190" spans="1:10" ht="15" customHeight="1" x14ac:dyDescent="0.2">
      <c r="A190" s="9" t="s">
        <v>393</v>
      </c>
      <c r="B190" s="86" t="s">
        <v>370</v>
      </c>
      <c r="C190" s="82" t="s">
        <v>243</v>
      </c>
      <c r="D190" s="148">
        <v>18310</v>
      </c>
      <c r="E190" s="48">
        <v>0.35299999999999998</v>
      </c>
      <c r="F190" s="153">
        <f t="shared" si="38"/>
        <v>11846.57</v>
      </c>
      <c r="G190" s="173"/>
      <c r="H190" s="148">
        <f t="shared" si="39"/>
        <v>16479</v>
      </c>
      <c r="I190" s="10"/>
      <c r="J190" s="38">
        <v>0.1</v>
      </c>
    </row>
    <row r="191" spans="1:10" ht="15" customHeight="1" x14ac:dyDescent="0.2">
      <c r="A191" s="9" t="s">
        <v>394</v>
      </c>
      <c r="B191" s="86" t="s">
        <v>370</v>
      </c>
      <c r="C191" s="82" t="s">
        <v>244</v>
      </c>
      <c r="D191" s="148">
        <v>20116</v>
      </c>
      <c r="E191" s="48">
        <v>0.35299999999999998</v>
      </c>
      <c r="F191" s="153">
        <f t="shared" si="38"/>
        <v>13015.05</v>
      </c>
      <c r="G191" s="173"/>
      <c r="H191" s="148">
        <f t="shared" si="39"/>
        <v>18104</v>
      </c>
      <c r="I191" s="10"/>
      <c r="J191" s="38">
        <v>0.1</v>
      </c>
    </row>
    <row r="192" spans="1:10" ht="15" customHeight="1" x14ac:dyDescent="0.2">
      <c r="A192" s="9" t="s">
        <v>395</v>
      </c>
      <c r="B192" s="86" t="s">
        <v>369</v>
      </c>
      <c r="C192" s="82" t="s">
        <v>245</v>
      </c>
      <c r="D192" s="148">
        <v>20109</v>
      </c>
      <c r="E192" s="48">
        <v>0.35299999999999998</v>
      </c>
      <c r="F192" s="153">
        <f t="shared" si="38"/>
        <v>13010.52</v>
      </c>
      <c r="G192" s="173"/>
      <c r="H192" s="148">
        <f t="shared" si="39"/>
        <v>18098</v>
      </c>
      <c r="I192" s="10"/>
      <c r="J192" s="38">
        <v>0.1</v>
      </c>
    </row>
    <row r="193" spans="1:10" ht="15" customHeight="1" x14ac:dyDescent="0.2">
      <c r="A193" s="9" t="s">
        <v>396</v>
      </c>
      <c r="B193" s="86" t="s">
        <v>369</v>
      </c>
      <c r="C193" s="82" t="s">
        <v>246</v>
      </c>
      <c r="D193" s="148">
        <v>20109</v>
      </c>
      <c r="E193" s="48">
        <v>0.35299999999999998</v>
      </c>
      <c r="F193" s="153">
        <f t="shared" si="38"/>
        <v>13010.52</v>
      </c>
      <c r="G193" s="173"/>
      <c r="H193" s="148">
        <f t="shared" si="39"/>
        <v>18098</v>
      </c>
      <c r="I193" s="10"/>
      <c r="J193" s="38">
        <v>0.1</v>
      </c>
    </row>
    <row r="194" spans="1:10" ht="15" customHeight="1" x14ac:dyDescent="0.2">
      <c r="A194" s="9" t="s">
        <v>397</v>
      </c>
      <c r="B194" s="86" t="s">
        <v>367</v>
      </c>
      <c r="C194" s="82" t="s">
        <v>246</v>
      </c>
      <c r="D194" s="148">
        <v>19936</v>
      </c>
      <c r="E194" s="48">
        <v>0.35299999999999998</v>
      </c>
      <c r="F194" s="153">
        <f t="shared" si="38"/>
        <v>12898.59</v>
      </c>
      <c r="G194" s="173"/>
      <c r="H194" s="148">
        <f t="shared" si="39"/>
        <v>17942</v>
      </c>
      <c r="I194" s="10"/>
      <c r="J194" s="38">
        <v>0.1</v>
      </c>
    </row>
    <row r="195" spans="1:10" ht="15" customHeight="1" x14ac:dyDescent="0.2">
      <c r="A195" s="9" t="s">
        <v>398</v>
      </c>
      <c r="B195" s="86" t="s">
        <v>368</v>
      </c>
      <c r="C195" s="82" t="s">
        <v>244</v>
      </c>
      <c r="D195" s="148">
        <v>19087</v>
      </c>
      <c r="E195" s="48">
        <v>0.35299999999999998</v>
      </c>
      <c r="F195" s="153">
        <f t="shared" si="38"/>
        <v>12349.29</v>
      </c>
      <c r="G195" s="173"/>
      <c r="H195" s="148">
        <f t="shared" si="39"/>
        <v>17178</v>
      </c>
      <c r="I195" s="10"/>
      <c r="J195" s="38">
        <v>0.1</v>
      </c>
    </row>
    <row r="196" spans="1:10" ht="15" customHeight="1" x14ac:dyDescent="0.2">
      <c r="A196" s="9" t="s">
        <v>399</v>
      </c>
      <c r="B196" s="86" t="s">
        <v>368</v>
      </c>
      <c r="C196" s="82" t="s">
        <v>247</v>
      </c>
      <c r="D196" s="148">
        <v>19087</v>
      </c>
      <c r="E196" s="48">
        <v>0.35299999999999998</v>
      </c>
      <c r="F196" s="153">
        <f t="shared" si="38"/>
        <v>12349.29</v>
      </c>
      <c r="G196" s="173"/>
      <c r="H196" s="148">
        <f t="shared" si="39"/>
        <v>17178</v>
      </c>
      <c r="I196" s="10"/>
      <c r="J196" s="38">
        <v>0.1</v>
      </c>
    </row>
    <row r="197" spans="1:10" ht="15" customHeight="1" x14ac:dyDescent="0.2">
      <c r="A197" s="9" t="s">
        <v>400</v>
      </c>
      <c r="B197" s="86" t="s">
        <v>366</v>
      </c>
      <c r="C197" s="82" t="s">
        <v>247</v>
      </c>
      <c r="D197" s="148">
        <v>18915</v>
      </c>
      <c r="E197" s="48">
        <v>0.35299999999999998</v>
      </c>
      <c r="F197" s="153">
        <f t="shared" ref="F197:F199" si="40">ROUND(D197*(1-E197),2)</f>
        <v>12238.01</v>
      </c>
      <c r="G197" s="173"/>
      <c r="H197" s="148">
        <f t="shared" ref="H197:H199" si="41">ROUND(D197*(1-J197),0)</f>
        <v>17024</v>
      </c>
      <c r="I197" s="10"/>
      <c r="J197" s="38">
        <v>0.1</v>
      </c>
    </row>
    <row r="198" spans="1:10" ht="15" customHeight="1" x14ac:dyDescent="0.2">
      <c r="A198" s="9" t="s">
        <v>401</v>
      </c>
      <c r="B198" s="86" t="s">
        <v>371</v>
      </c>
      <c r="C198" s="82" t="s">
        <v>248</v>
      </c>
      <c r="D198" s="148">
        <v>17291</v>
      </c>
      <c r="E198" s="48">
        <v>0.35299999999999998</v>
      </c>
      <c r="F198" s="153">
        <f t="shared" si="40"/>
        <v>11187.28</v>
      </c>
      <c r="G198" s="173"/>
      <c r="H198" s="148">
        <f t="shared" si="41"/>
        <v>15562</v>
      </c>
      <c r="I198" s="10"/>
      <c r="J198" s="38">
        <v>0.1</v>
      </c>
    </row>
    <row r="199" spans="1:10" ht="15" customHeight="1" x14ac:dyDescent="0.2">
      <c r="A199" s="22" t="s">
        <v>402</v>
      </c>
      <c r="B199" s="87" t="s">
        <v>371</v>
      </c>
      <c r="C199" s="84" t="s">
        <v>244</v>
      </c>
      <c r="D199" s="149">
        <v>20116</v>
      </c>
      <c r="E199" s="57">
        <v>0.35299999999999998</v>
      </c>
      <c r="F199" s="154">
        <f t="shared" si="40"/>
        <v>13015.05</v>
      </c>
      <c r="G199" s="173"/>
      <c r="H199" s="149">
        <f t="shared" si="41"/>
        <v>18104</v>
      </c>
      <c r="I199" s="10"/>
      <c r="J199" s="26">
        <v>0.1</v>
      </c>
    </row>
    <row r="200" spans="1:10" ht="15" customHeight="1" x14ac:dyDescent="0.2">
      <c r="A200" s="13"/>
      <c r="B200" s="143"/>
      <c r="C200" s="91"/>
      <c r="D200" s="152" t="s">
        <v>30</v>
      </c>
      <c r="E200" s="49" t="s">
        <v>30</v>
      </c>
      <c r="F200" s="178"/>
      <c r="G200" s="37"/>
      <c r="H200" s="152"/>
      <c r="I200" s="10"/>
      <c r="J200" s="8"/>
    </row>
    <row r="201" spans="1:10" ht="15" customHeight="1" x14ac:dyDescent="0.2">
      <c r="A201" s="17" t="s">
        <v>249</v>
      </c>
      <c r="B201" s="143"/>
      <c r="C201" s="91"/>
      <c r="D201" s="152" t="s">
        <v>30</v>
      </c>
      <c r="E201" s="49" t="s">
        <v>30</v>
      </c>
      <c r="F201" s="178"/>
      <c r="G201" s="37"/>
      <c r="H201" s="152"/>
      <c r="I201" s="10"/>
      <c r="J201" s="8"/>
    </row>
    <row r="202" spans="1:10" ht="15" customHeight="1" x14ac:dyDescent="0.2">
      <c r="A202" s="28" t="s">
        <v>250</v>
      </c>
      <c r="B202" s="89" t="s">
        <v>251</v>
      </c>
      <c r="C202" s="90" t="s">
        <v>252</v>
      </c>
      <c r="D202" s="150">
        <v>11637</v>
      </c>
      <c r="E202" s="56">
        <v>0.35299999999999998</v>
      </c>
      <c r="F202" s="155">
        <f t="shared" ref="F202:F205" si="42">ROUND(D202*(1-E202),2)</f>
        <v>7529.14</v>
      </c>
      <c r="G202" s="173"/>
      <c r="H202" s="150">
        <f t="shared" ref="H202:H205" si="43">ROUND(D202*(1-J202),0)</f>
        <v>10473</v>
      </c>
      <c r="I202" s="10"/>
      <c r="J202" s="11">
        <v>0.1</v>
      </c>
    </row>
    <row r="203" spans="1:10" ht="15" customHeight="1" x14ac:dyDescent="0.2">
      <c r="A203" s="9" t="s">
        <v>253</v>
      </c>
      <c r="B203" s="86" t="s">
        <v>251</v>
      </c>
      <c r="C203" s="82" t="s">
        <v>254</v>
      </c>
      <c r="D203" s="148">
        <v>12999</v>
      </c>
      <c r="E203" s="48">
        <v>0.35299999999999998</v>
      </c>
      <c r="F203" s="153">
        <f t="shared" si="42"/>
        <v>8410.35</v>
      </c>
      <c r="G203" s="173"/>
      <c r="H203" s="148">
        <f t="shared" si="43"/>
        <v>11699</v>
      </c>
      <c r="I203" s="10"/>
      <c r="J203" s="38">
        <v>0.1</v>
      </c>
    </row>
    <row r="204" spans="1:10" ht="15" customHeight="1" x14ac:dyDescent="0.2">
      <c r="A204" s="9" t="s">
        <v>255</v>
      </c>
      <c r="B204" s="86" t="s">
        <v>256</v>
      </c>
      <c r="C204" s="82" t="s">
        <v>252</v>
      </c>
      <c r="D204" s="148">
        <v>12066</v>
      </c>
      <c r="E204" s="48">
        <v>0.35299999999999998</v>
      </c>
      <c r="F204" s="153">
        <f t="shared" si="42"/>
        <v>7806.7</v>
      </c>
      <c r="G204" s="173"/>
      <c r="H204" s="148">
        <f t="shared" si="43"/>
        <v>10859</v>
      </c>
      <c r="I204" s="10"/>
      <c r="J204" s="38">
        <v>0.1</v>
      </c>
    </row>
    <row r="205" spans="1:10" ht="15" customHeight="1" x14ac:dyDescent="0.2">
      <c r="A205" s="22" t="s">
        <v>257</v>
      </c>
      <c r="B205" s="87" t="s">
        <v>256</v>
      </c>
      <c r="C205" s="84" t="s">
        <v>254</v>
      </c>
      <c r="D205" s="149">
        <v>13428</v>
      </c>
      <c r="E205" s="57">
        <v>0.35299999999999998</v>
      </c>
      <c r="F205" s="154">
        <f t="shared" si="42"/>
        <v>8687.92</v>
      </c>
      <c r="G205" s="173"/>
      <c r="H205" s="149">
        <f t="shared" si="43"/>
        <v>12085</v>
      </c>
      <c r="I205" s="10"/>
      <c r="J205" s="26">
        <v>0.1</v>
      </c>
    </row>
    <row r="206" spans="1:10" ht="15" customHeight="1" x14ac:dyDescent="0.2">
      <c r="A206" s="9"/>
      <c r="B206" s="86"/>
      <c r="C206" s="82"/>
      <c r="D206" s="152" t="s">
        <v>30</v>
      </c>
      <c r="E206" s="48"/>
      <c r="F206" s="152"/>
      <c r="G206" s="37"/>
      <c r="H206" s="152"/>
      <c r="I206" s="10"/>
      <c r="J206" s="8"/>
    </row>
    <row r="207" spans="1:10" ht="15" customHeight="1" x14ac:dyDescent="0.2">
      <c r="A207" s="35" t="s">
        <v>258</v>
      </c>
      <c r="B207" s="143"/>
      <c r="C207" s="91"/>
      <c r="D207" s="152" t="s">
        <v>30</v>
      </c>
      <c r="E207" s="49" t="s">
        <v>30</v>
      </c>
      <c r="F207" s="178"/>
      <c r="G207" s="37"/>
      <c r="H207" s="152"/>
      <c r="I207" s="10"/>
      <c r="J207" s="8"/>
    </row>
    <row r="208" spans="1:10" ht="15" customHeight="1" x14ac:dyDescent="0.2">
      <c r="A208" s="28" t="s">
        <v>259</v>
      </c>
      <c r="B208" s="89" t="s">
        <v>260</v>
      </c>
      <c r="C208" s="120" t="s">
        <v>177</v>
      </c>
      <c r="D208" s="150">
        <v>12298</v>
      </c>
      <c r="E208" s="56">
        <v>0.35299999999999998</v>
      </c>
      <c r="F208" s="155">
        <f t="shared" ref="F208:F209" si="44">ROUND(D208*(1-E208),2)</f>
        <v>7956.81</v>
      </c>
      <c r="G208" s="173"/>
      <c r="H208" s="150">
        <f t="shared" ref="H208:H210" si="45">ROUND(D208*(1-J208),0)</f>
        <v>11068</v>
      </c>
      <c r="I208" s="10"/>
      <c r="J208" s="11">
        <v>0.1</v>
      </c>
    </row>
    <row r="209" spans="1:10" ht="15" customHeight="1" x14ac:dyDescent="0.2">
      <c r="A209" s="9" t="s">
        <v>261</v>
      </c>
      <c r="B209" s="86" t="s">
        <v>260</v>
      </c>
      <c r="C209" s="122" t="s">
        <v>445</v>
      </c>
      <c r="D209" s="148">
        <v>13743</v>
      </c>
      <c r="E209" s="48">
        <v>0.35299999999999998</v>
      </c>
      <c r="F209" s="153">
        <f t="shared" si="44"/>
        <v>8891.7199999999993</v>
      </c>
      <c r="G209" s="173"/>
      <c r="H209" s="148">
        <f t="shared" si="45"/>
        <v>12369</v>
      </c>
      <c r="I209" s="10"/>
      <c r="J209" s="38">
        <v>0.1</v>
      </c>
    </row>
    <row r="210" spans="1:10" ht="15" customHeight="1" x14ac:dyDescent="0.2">
      <c r="A210" s="199" t="s">
        <v>446</v>
      </c>
      <c r="B210" s="200" t="s">
        <v>260</v>
      </c>
      <c r="C210" s="201" t="s">
        <v>447</v>
      </c>
      <c r="D210" s="202">
        <v>15800</v>
      </c>
      <c r="E210" s="203">
        <v>0.35299999999999998</v>
      </c>
      <c r="F210" s="204">
        <f>ROUND(D210*(1-E210),2)</f>
        <v>10222.6</v>
      </c>
      <c r="G210" s="195"/>
      <c r="H210" s="202">
        <f t="shared" si="45"/>
        <v>14220</v>
      </c>
      <c r="I210" s="197"/>
      <c r="J210" s="205">
        <v>0.1</v>
      </c>
    </row>
    <row r="211" spans="1:10" ht="15" customHeight="1" x14ac:dyDescent="0.2">
      <c r="A211" s="9"/>
      <c r="B211" s="86"/>
      <c r="C211" s="82"/>
      <c r="D211" s="152" t="s">
        <v>30</v>
      </c>
      <c r="E211" s="48"/>
      <c r="F211" s="152"/>
      <c r="G211" s="37"/>
      <c r="H211" s="152"/>
      <c r="I211" s="10"/>
      <c r="J211" s="38"/>
    </row>
    <row r="212" spans="1:10" ht="15" customHeight="1" x14ac:dyDescent="0.2">
      <c r="A212" s="35" t="s">
        <v>262</v>
      </c>
      <c r="B212" s="143"/>
      <c r="C212" s="91"/>
      <c r="D212" s="152" t="s">
        <v>30</v>
      </c>
      <c r="E212" s="49" t="s">
        <v>30</v>
      </c>
      <c r="F212" s="178"/>
      <c r="G212" s="37"/>
      <c r="H212" s="152"/>
      <c r="I212" s="10"/>
      <c r="J212" s="10"/>
    </row>
    <row r="213" spans="1:10" ht="15" customHeight="1" x14ac:dyDescent="0.2">
      <c r="A213" s="28" t="s">
        <v>263</v>
      </c>
      <c r="B213" s="89" t="s">
        <v>264</v>
      </c>
      <c r="C213" s="120" t="s">
        <v>265</v>
      </c>
      <c r="D213" s="150">
        <v>21158</v>
      </c>
      <c r="E213" s="56">
        <v>0.35299999999999998</v>
      </c>
      <c r="F213" s="155">
        <f t="shared" ref="F213:F214" si="46">ROUND(D213*(1-E213),2)</f>
        <v>13689.23</v>
      </c>
      <c r="G213" s="173"/>
      <c r="H213" s="150">
        <f t="shared" ref="H213:H214" si="47">ROUND(D213*(1-J213),0)</f>
        <v>19042</v>
      </c>
      <c r="I213" s="10"/>
      <c r="J213" s="11">
        <v>0.1</v>
      </c>
    </row>
    <row r="214" spans="1:10" ht="15" customHeight="1" x14ac:dyDescent="0.2">
      <c r="A214" s="22" t="s">
        <v>266</v>
      </c>
      <c r="B214" s="87" t="s">
        <v>264</v>
      </c>
      <c r="C214" s="121" t="s">
        <v>267</v>
      </c>
      <c r="D214" s="149">
        <v>22980</v>
      </c>
      <c r="E214" s="57">
        <v>0.35299999999999998</v>
      </c>
      <c r="F214" s="154">
        <f t="shared" si="46"/>
        <v>14868.06</v>
      </c>
      <c r="G214" s="173"/>
      <c r="H214" s="149">
        <f t="shared" si="47"/>
        <v>20682</v>
      </c>
      <c r="I214" s="10"/>
      <c r="J214" s="26">
        <v>0.1</v>
      </c>
    </row>
    <row r="215" spans="1:10" ht="15" customHeight="1" x14ac:dyDescent="0.2">
      <c r="A215" s="9"/>
      <c r="B215" s="86"/>
      <c r="C215" s="122"/>
      <c r="D215" s="152" t="s">
        <v>30</v>
      </c>
      <c r="E215" s="48"/>
      <c r="F215" s="152"/>
      <c r="G215" s="37"/>
      <c r="H215" s="152"/>
      <c r="I215" s="10"/>
      <c r="J215" s="38"/>
    </row>
    <row r="216" spans="1:10" ht="15" customHeight="1" x14ac:dyDescent="0.2">
      <c r="A216" s="17" t="s">
        <v>268</v>
      </c>
      <c r="B216" s="143"/>
      <c r="C216" s="91"/>
      <c r="D216" s="152" t="s">
        <v>30</v>
      </c>
      <c r="E216" s="49" t="s">
        <v>30</v>
      </c>
      <c r="F216" s="178"/>
      <c r="G216" s="37"/>
      <c r="H216" s="152"/>
      <c r="I216" s="10"/>
      <c r="J216" s="10"/>
    </row>
    <row r="217" spans="1:10" ht="15" customHeight="1" x14ac:dyDescent="0.2">
      <c r="A217" s="28" t="s">
        <v>269</v>
      </c>
      <c r="B217" s="89" t="s">
        <v>270</v>
      </c>
      <c r="C217" s="90" t="s">
        <v>271</v>
      </c>
      <c r="D217" s="150">
        <v>28100</v>
      </c>
      <c r="E217" s="56">
        <v>0.35299999999999998</v>
      </c>
      <c r="F217" s="155">
        <f t="shared" ref="F217:F218" si="48">ROUND(D217*(1-E217),2)</f>
        <v>18180.7</v>
      </c>
      <c r="G217" s="173"/>
      <c r="H217" s="150">
        <f t="shared" ref="H217:H218" si="49">ROUND(D217*(1-J217),0)</f>
        <v>25290</v>
      </c>
      <c r="I217" s="10"/>
      <c r="J217" s="11">
        <v>0.1</v>
      </c>
    </row>
    <row r="218" spans="1:10" ht="15" customHeight="1" x14ac:dyDescent="0.2">
      <c r="A218" s="9" t="s">
        <v>272</v>
      </c>
      <c r="B218" s="86" t="s">
        <v>270</v>
      </c>
      <c r="C218" s="82" t="s">
        <v>273</v>
      </c>
      <c r="D218" s="148">
        <v>28404</v>
      </c>
      <c r="E218" s="48">
        <v>0.35299999999999998</v>
      </c>
      <c r="F218" s="153">
        <f t="shared" si="48"/>
        <v>18377.39</v>
      </c>
      <c r="G218" s="173"/>
      <c r="H218" s="148">
        <f t="shared" si="49"/>
        <v>25564</v>
      </c>
      <c r="I218" s="10"/>
      <c r="J218" s="38">
        <v>0.1</v>
      </c>
    </row>
    <row r="219" spans="1:10" ht="15" customHeight="1" x14ac:dyDescent="0.2">
      <c r="A219" s="22" t="s">
        <v>274</v>
      </c>
      <c r="B219" s="87" t="s">
        <v>270</v>
      </c>
      <c r="C219" s="84" t="s">
        <v>275</v>
      </c>
      <c r="D219" s="149">
        <v>30985</v>
      </c>
      <c r="E219" s="57">
        <v>0.35299999999999998</v>
      </c>
      <c r="F219" s="154">
        <f t="shared" ref="F219" si="50">ROUND(D219*(1-E219),2)</f>
        <v>20047.3</v>
      </c>
      <c r="G219" s="173"/>
      <c r="H219" s="149">
        <f t="shared" ref="H219" si="51">ROUND(D219*(1-J219),0)</f>
        <v>27887</v>
      </c>
      <c r="I219" s="10"/>
      <c r="J219" s="26">
        <v>0.1</v>
      </c>
    </row>
    <row r="220" spans="1:10" ht="15" customHeight="1" x14ac:dyDescent="0.2">
      <c r="A220" s="9"/>
      <c r="B220" s="86"/>
      <c r="C220" s="82"/>
      <c r="D220" s="152" t="s">
        <v>30</v>
      </c>
      <c r="E220" s="48"/>
      <c r="F220" s="152"/>
      <c r="G220" s="37"/>
      <c r="H220" s="152"/>
      <c r="I220" s="10"/>
      <c r="J220" s="38"/>
    </row>
    <row r="221" spans="1:10" ht="15" customHeight="1" x14ac:dyDescent="0.2">
      <c r="A221" s="17" t="s">
        <v>276</v>
      </c>
      <c r="B221" s="143"/>
      <c r="C221" s="91"/>
      <c r="D221" s="152" t="s">
        <v>30</v>
      </c>
      <c r="E221" s="49" t="s">
        <v>30</v>
      </c>
      <c r="F221" s="178"/>
      <c r="G221" s="37"/>
      <c r="H221" s="152"/>
      <c r="I221" s="10"/>
      <c r="J221" s="10"/>
    </row>
    <row r="222" spans="1:10" ht="15" customHeight="1" x14ac:dyDescent="0.2">
      <c r="A222" s="28" t="s">
        <v>277</v>
      </c>
      <c r="B222" s="89" t="s">
        <v>278</v>
      </c>
      <c r="C222" s="90" t="s">
        <v>279</v>
      </c>
      <c r="D222" s="150">
        <v>24466</v>
      </c>
      <c r="E222" s="56">
        <v>0.35299999999999998</v>
      </c>
      <c r="F222" s="155">
        <f t="shared" ref="F222:F225" si="52">ROUND(D222*(1-E222),2)</f>
        <v>15829.5</v>
      </c>
      <c r="G222" s="173"/>
      <c r="H222" s="150">
        <f t="shared" ref="H222:H225" si="53">ROUND(D222*(1-J222),0)</f>
        <v>22019</v>
      </c>
      <c r="I222" s="10"/>
      <c r="J222" s="11">
        <v>0.1</v>
      </c>
    </row>
    <row r="223" spans="1:10" ht="15" customHeight="1" x14ac:dyDescent="0.2">
      <c r="A223" s="9" t="s">
        <v>280</v>
      </c>
      <c r="B223" s="86" t="s">
        <v>278</v>
      </c>
      <c r="C223" s="82" t="s">
        <v>281</v>
      </c>
      <c r="D223" s="148">
        <v>25375</v>
      </c>
      <c r="E223" s="48">
        <v>0.35299999999999998</v>
      </c>
      <c r="F223" s="153">
        <f t="shared" si="52"/>
        <v>16417.63</v>
      </c>
      <c r="G223" s="173"/>
      <c r="H223" s="148">
        <f t="shared" si="53"/>
        <v>22838</v>
      </c>
      <c r="I223" s="10"/>
      <c r="J223" s="38">
        <v>0.1</v>
      </c>
    </row>
    <row r="224" spans="1:10" ht="15" customHeight="1" x14ac:dyDescent="0.2">
      <c r="A224" s="9" t="s">
        <v>282</v>
      </c>
      <c r="B224" s="86" t="s">
        <v>283</v>
      </c>
      <c r="C224" s="82" t="s">
        <v>279</v>
      </c>
      <c r="D224" s="148">
        <v>25455</v>
      </c>
      <c r="E224" s="48">
        <v>0.35299999999999998</v>
      </c>
      <c r="F224" s="153">
        <f t="shared" si="52"/>
        <v>16469.39</v>
      </c>
      <c r="G224" s="173"/>
      <c r="H224" s="148">
        <f t="shared" si="53"/>
        <v>22910</v>
      </c>
      <c r="I224" s="10"/>
      <c r="J224" s="38">
        <v>0.1</v>
      </c>
    </row>
    <row r="225" spans="1:10" ht="15" customHeight="1" x14ac:dyDescent="0.2">
      <c r="A225" s="22" t="s">
        <v>284</v>
      </c>
      <c r="B225" s="87" t="s">
        <v>283</v>
      </c>
      <c r="C225" s="84" t="s">
        <v>281</v>
      </c>
      <c r="D225" s="149">
        <v>26368</v>
      </c>
      <c r="E225" s="57">
        <v>0.35299999999999998</v>
      </c>
      <c r="F225" s="154">
        <f t="shared" si="52"/>
        <v>17060.099999999999</v>
      </c>
      <c r="G225" s="173"/>
      <c r="H225" s="149">
        <f t="shared" si="53"/>
        <v>23731</v>
      </c>
      <c r="I225" s="10"/>
      <c r="J225" s="26">
        <v>0.1</v>
      </c>
    </row>
    <row r="226" spans="1:10" ht="15" customHeight="1" x14ac:dyDescent="0.2">
      <c r="A226" s="13"/>
      <c r="B226" s="143"/>
      <c r="C226" s="91"/>
      <c r="D226" s="152" t="s">
        <v>30</v>
      </c>
      <c r="E226" s="49"/>
      <c r="F226" s="178"/>
      <c r="G226" s="37"/>
      <c r="H226" s="152"/>
      <c r="I226" s="10"/>
      <c r="J226" s="10"/>
    </row>
    <row r="227" spans="1:10" ht="15" customHeight="1" x14ac:dyDescent="0.2">
      <c r="A227" s="17" t="s">
        <v>285</v>
      </c>
      <c r="B227" s="143"/>
      <c r="C227" s="91"/>
      <c r="D227" s="152" t="s">
        <v>30</v>
      </c>
      <c r="E227" s="49" t="s">
        <v>30</v>
      </c>
      <c r="F227" s="175"/>
      <c r="G227" s="37"/>
      <c r="H227" s="152"/>
      <c r="I227" s="10"/>
      <c r="J227" s="10"/>
    </row>
    <row r="228" spans="1:10" ht="15" customHeight="1" x14ac:dyDescent="0.2">
      <c r="A228" s="28" t="s">
        <v>286</v>
      </c>
      <c r="B228" s="89" t="s">
        <v>287</v>
      </c>
      <c r="C228" s="90" t="s">
        <v>279</v>
      </c>
      <c r="D228" s="150">
        <v>25125</v>
      </c>
      <c r="E228" s="56">
        <v>0.35299999999999998</v>
      </c>
      <c r="F228" s="155">
        <f>ROUND(D228*(1-E228),2)</f>
        <v>16255.88</v>
      </c>
      <c r="G228" s="173"/>
      <c r="H228" s="150">
        <f>ROUND(D228*(1-J228),0)</f>
        <v>22613</v>
      </c>
      <c r="I228" s="10"/>
      <c r="J228" s="11">
        <v>0.1</v>
      </c>
    </row>
    <row r="229" spans="1:10" ht="15" customHeight="1" x14ac:dyDescent="0.2">
      <c r="A229" s="9" t="s">
        <v>288</v>
      </c>
      <c r="B229" s="86" t="s">
        <v>287</v>
      </c>
      <c r="C229" s="82" t="s">
        <v>281</v>
      </c>
      <c r="D229" s="148">
        <v>26035</v>
      </c>
      <c r="E229" s="48">
        <v>0.35299999999999998</v>
      </c>
      <c r="F229" s="153">
        <f>ROUND(D229*(1-E229),2)</f>
        <v>16844.650000000001</v>
      </c>
      <c r="G229" s="173"/>
      <c r="H229" s="148">
        <f>ROUND(D229*(1-J229),0)</f>
        <v>23432</v>
      </c>
      <c r="I229" s="10"/>
      <c r="J229" s="38">
        <v>0.1</v>
      </c>
    </row>
    <row r="230" spans="1:10" ht="15" customHeight="1" x14ac:dyDescent="0.2">
      <c r="A230" s="9" t="s">
        <v>289</v>
      </c>
      <c r="B230" s="86" t="s">
        <v>290</v>
      </c>
      <c r="C230" s="82" t="s">
        <v>279</v>
      </c>
      <c r="D230" s="148">
        <v>27077</v>
      </c>
      <c r="E230" s="48">
        <v>0.35299999999999998</v>
      </c>
      <c r="F230" s="153">
        <f t="shared" ref="F230:F241" si="54">ROUND(D230*(1-E230),2)</f>
        <v>17518.82</v>
      </c>
      <c r="G230" s="173"/>
      <c r="H230" s="148">
        <f t="shared" ref="H230:H241" si="55">ROUND(D230*(1-J230),0)</f>
        <v>24369</v>
      </c>
      <c r="I230" s="10"/>
      <c r="J230" s="38">
        <v>0.1</v>
      </c>
    </row>
    <row r="231" spans="1:10" ht="15" customHeight="1" x14ac:dyDescent="0.2">
      <c r="A231" s="9" t="s">
        <v>291</v>
      </c>
      <c r="B231" s="86" t="s">
        <v>292</v>
      </c>
      <c r="C231" s="82" t="s">
        <v>271</v>
      </c>
      <c r="D231" s="148">
        <v>27682</v>
      </c>
      <c r="E231" s="48">
        <v>0.35299999999999998</v>
      </c>
      <c r="F231" s="153">
        <f t="shared" si="54"/>
        <v>17910.25</v>
      </c>
      <c r="G231" s="173"/>
      <c r="H231" s="148">
        <f t="shared" si="55"/>
        <v>24914</v>
      </c>
      <c r="I231" s="10"/>
      <c r="J231" s="38">
        <v>0.1</v>
      </c>
    </row>
    <row r="232" spans="1:10" ht="15" customHeight="1" x14ac:dyDescent="0.2">
      <c r="A232" s="9" t="s">
        <v>293</v>
      </c>
      <c r="B232" s="86" t="s">
        <v>290</v>
      </c>
      <c r="C232" s="82" t="s">
        <v>281</v>
      </c>
      <c r="D232" s="148">
        <v>27985</v>
      </c>
      <c r="E232" s="48">
        <v>0.35299999999999998</v>
      </c>
      <c r="F232" s="153">
        <f t="shared" si="54"/>
        <v>18106.3</v>
      </c>
      <c r="G232" s="173"/>
      <c r="H232" s="148">
        <f t="shared" si="55"/>
        <v>25187</v>
      </c>
      <c r="I232" s="10"/>
      <c r="J232" s="38">
        <v>0.1</v>
      </c>
    </row>
    <row r="233" spans="1:10" ht="15" customHeight="1" x14ac:dyDescent="0.2">
      <c r="A233" s="9" t="s">
        <v>294</v>
      </c>
      <c r="B233" s="86" t="s">
        <v>292</v>
      </c>
      <c r="C233" s="82" t="s">
        <v>275</v>
      </c>
      <c r="D233" s="148">
        <v>30567</v>
      </c>
      <c r="E233" s="48">
        <v>0.35299999999999998</v>
      </c>
      <c r="F233" s="153">
        <f t="shared" si="54"/>
        <v>19776.849999999999</v>
      </c>
      <c r="G233" s="173"/>
      <c r="H233" s="148">
        <f t="shared" si="55"/>
        <v>27510</v>
      </c>
      <c r="I233" s="10"/>
      <c r="J233" s="38">
        <v>0.1</v>
      </c>
    </row>
    <row r="234" spans="1:10" ht="15" customHeight="1" x14ac:dyDescent="0.2">
      <c r="A234" s="9" t="s">
        <v>295</v>
      </c>
      <c r="B234" s="86" t="s">
        <v>296</v>
      </c>
      <c r="C234" s="82" t="s">
        <v>297</v>
      </c>
      <c r="D234" s="148">
        <v>28430</v>
      </c>
      <c r="E234" s="48">
        <v>0.35299999999999998</v>
      </c>
      <c r="F234" s="153">
        <f t="shared" si="54"/>
        <v>18394.21</v>
      </c>
      <c r="G234" s="173"/>
      <c r="H234" s="148">
        <f t="shared" si="55"/>
        <v>25587</v>
      </c>
      <c r="I234" s="10"/>
      <c r="J234" s="38">
        <v>0.1</v>
      </c>
    </row>
    <row r="235" spans="1:10" ht="15" customHeight="1" x14ac:dyDescent="0.2">
      <c r="A235" s="9" t="s">
        <v>298</v>
      </c>
      <c r="B235" s="86" t="s">
        <v>299</v>
      </c>
      <c r="C235" s="82" t="s">
        <v>300</v>
      </c>
      <c r="D235" s="148">
        <v>29036</v>
      </c>
      <c r="E235" s="48">
        <v>0.35299999999999998</v>
      </c>
      <c r="F235" s="153">
        <f t="shared" si="54"/>
        <v>18786.29</v>
      </c>
      <c r="G235" s="173"/>
      <c r="H235" s="148">
        <f t="shared" si="55"/>
        <v>26132</v>
      </c>
      <c r="I235" s="10"/>
      <c r="J235" s="38">
        <v>0.1</v>
      </c>
    </row>
    <row r="236" spans="1:10" ht="15" customHeight="1" x14ac:dyDescent="0.2">
      <c r="A236" s="9" t="s">
        <v>301</v>
      </c>
      <c r="B236" s="86" t="s">
        <v>296</v>
      </c>
      <c r="C236" s="82" t="s">
        <v>79</v>
      </c>
      <c r="D236" s="148">
        <v>29341</v>
      </c>
      <c r="E236" s="48">
        <v>0.35299999999999998</v>
      </c>
      <c r="F236" s="153">
        <f t="shared" si="54"/>
        <v>18983.63</v>
      </c>
      <c r="G236" s="173"/>
      <c r="H236" s="148">
        <f t="shared" si="55"/>
        <v>26407</v>
      </c>
      <c r="I236" s="10"/>
      <c r="J236" s="38">
        <v>0.1</v>
      </c>
    </row>
    <row r="237" spans="1:10" ht="15" customHeight="1" x14ac:dyDescent="0.2">
      <c r="A237" s="9" t="s">
        <v>302</v>
      </c>
      <c r="B237" s="86" t="s">
        <v>299</v>
      </c>
      <c r="C237" s="82" t="s">
        <v>81</v>
      </c>
      <c r="D237" s="148">
        <v>31921</v>
      </c>
      <c r="E237" s="48">
        <v>0.35299999999999998</v>
      </c>
      <c r="F237" s="153">
        <f t="shared" si="54"/>
        <v>20652.89</v>
      </c>
      <c r="G237" s="173"/>
      <c r="H237" s="148">
        <f t="shared" si="55"/>
        <v>28729</v>
      </c>
      <c r="I237" s="10"/>
      <c r="J237" s="38">
        <v>0.1</v>
      </c>
    </row>
    <row r="238" spans="1:10" ht="15" customHeight="1" x14ac:dyDescent="0.2">
      <c r="A238" s="9" t="s">
        <v>303</v>
      </c>
      <c r="B238" s="86" t="s">
        <v>304</v>
      </c>
      <c r="C238" s="82" t="s">
        <v>279</v>
      </c>
      <c r="D238" s="148">
        <v>28100</v>
      </c>
      <c r="E238" s="48">
        <v>0.35299999999999998</v>
      </c>
      <c r="F238" s="153">
        <f t="shared" si="54"/>
        <v>18180.7</v>
      </c>
      <c r="G238" s="173"/>
      <c r="H238" s="148">
        <f t="shared" si="55"/>
        <v>25290</v>
      </c>
      <c r="I238" s="10"/>
      <c r="J238" s="38">
        <v>0.1</v>
      </c>
    </row>
    <row r="239" spans="1:10" ht="15" customHeight="1" x14ac:dyDescent="0.2">
      <c r="A239" s="9" t="s">
        <v>305</v>
      </c>
      <c r="B239" s="86" t="s">
        <v>306</v>
      </c>
      <c r="C239" s="82" t="s">
        <v>271</v>
      </c>
      <c r="D239" s="148">
        <v>28705</v>
      </c>
      <c r="E239" s="48">
        <v>0.35299999999999998</v>
      </c>
      <c r="F239" s="153">
        <f t="shared" si="54"/>
        <v>18572.14</v>
      </c>
      <c r="G239" s="173"/>
      <c r="H239" s="148">
        <f t="shared" si="55"/>
        <v>25835</v>
      </c>
      <c r="I239" s="10"/>
      <c r="J239" s="38">
        <v>0.1</v>
      </c>
    </row>
    <row r="240" spans="1:10" ht="15" customHeight="1" x14ac:dyDescent="0.2">
      <c r="A240" s="9" t="s">
        <v>307</v>
      </c>
      <c r="B240" s="86" t="s">
        <v>304</v>
      </c>
      <c r="C240" s="82" t="s">
        <v>281</v>
      </c>
      <c r="D240" s="148">
        <v>29009</v>
      </c>
      <c r="E240" s="48">
        <v>0.35299999999999998</v>
      </c>
      <c r="F240" s="153">
        <f t="shared" si="54"/>
        <v>18768.82</v>
      </c>
      <c r="G240" s="173"/>
      <c r="H240" s="148">
        <f t="shared" si="55"/>
        <v>26108</v>
      </c>
      <c r="I240" s="10"/>
      <c r="J240" s="38">
        <v>0.1</v>
      </c>
    </row>
    <row r="241" spans="1:10" ht="15" customHeight="1" x14ac:dyDescent="0.2">
      <c r="A241" s="22" t="s">
        <v>308</v>
      </c>
      <c r="B241" s="87" t="s">
        <v>306</v>
      </c>
      <c r="C241" s="84" t="s">
        <v>275</v>
      </c>
      <c r="D241" s="149">
        <v>31591</v>
      </c>
      <c r="E241" s="57">
        <v>0.35299999999999998</v>
      </c>
      <c r="F241" s="154">
        <f t="shared" si="54"/>
        <v>20439.38</v>
      </c>
      <c r="G241" s="173"/>
      <c r="H241" s="149">
        <f t="shared" si="55"/>
        <v>28432</v>
      </c>
      <c r="I241" s="10"/>
      <c r="J241" s="26">
        <v>0.1</v>
      </c>
    </row>
    <row r="242" spans="1:10" ht="15" customHeight="1" x14ac:dyDescent="0.2">
      <c r="A242" s="13"/>
      <c r="B242" s="86"/>
      <c r="C242" s="91"/>
      <c r="D242" s="152" t="s">
        <v>30</v>
      </c>
      <c r="E242" s="49" t="s">
        <v>30</v>
      </c>
      <c r="F242" s="178"/>
      <c r="G242" s="37"/>
      <c r="H242" s="152"/>
      <c r="I242" s="10"/>
      <c r="J242" s="10"/>
    </row>
    <row r="243" spans="1:10" ht="16" x14ac:dyDescent="0.2">
      <c r="A243" s="17" t="s">
        <v>405</v>
      </c>
      <c r="B243" s="10"/>
      <c r="C243" s="91"/>
      <c r="D243" s="152" t="s">
        <v>30</v>
      </c>
      <c r="E243" s="49" t="s">
        <v>30</v>
      </c>
      <c r="F243" s="178"/>
      <c r="G243" s="37"/>
      <c r="H243" s="152"/>
      <c r="I243" s="10"/>
      <c r="J243" s="10"/>
    </row>
    <row r="244" spans="1:10" ht="15" x14ac:dyDescent="0.2">
      <c r="A244" s="28" t="s">
        <v>406</v>
      </c>
      <c r="B244" s="89" t="s">
        <v>407</v>
      </c>
      <c r="C244" s="90" t="s">
        <v>408</v>
      </c>
      <c r="D244" s="150">
        <v>31458</v>
      </c>
      <c r="E244" s="56">
        <v>0.30299999999999999</v>
      </c>
      <c r="F244" s="155">
        <f>ROUND(D244*(1-E244),2)</f>
        <v>21926.23</v>
      </c>
      <c r="G244" s="173"/>
      <c r="H244" s="150">
        <f>ROUND(D244*(1-J244),0)</f>
        <v>28312</v>
      </c>
      <c r="I244" s="10"/>
      <c r="J244" s="11">
        <v>0.1</v>
      </c>
    </row>
    <row r="245" spans="1:10" ht="15" x14ac:dyDescent="0.2">
      <c r="A245" s="9" t="s">
        <v>409</v>
      </c>
      <c r="B245" s="86" t="s">
        <v>407</v>
      </c>
      <c r="C245" s="82" t="s">
        <v>410</v>
      </c>
      <c r="D245" s="148">
        <v>31981</v>
      </c>
      <c r="E245" s="48">
        <v>0.30299999999999999</v>
      </c>
      <c r="F245" s="153">
        <f>ROUND(D245*(1-E245),2)</f>
        <v>22290.76</v>
      </c>
      <c r="G245" s="173"/>
      <c r="H245" s="148">
        <f>ROUND(D245*(1-J245),0)</f>
        <v>28783</v>
      </c>
      <c r="I245" s="10"/>
      <c r="J245" s="38">
        <v>0.1</v>
      </c>
    </row>
    <row r="246" spans="1:10" ht="15" x14ac:dyDescent="0.2">
      <c r="A246" s="9" t="s">
        <v>411</v>
      </c>
      <c r="B246" s="86" t="s">
        <v>407</v>
      </c>
      <c r="C246" s="82" t="s">
        <v>412</v>
      </c>
      <c r="D246" s="148">
        <v>33962</v>
      </c>
      <c r="E246" s="48">
        <v>0.30299999999999999</v>
      </c>
      <c r="F246" s="153">
        <f t="shared" ref="F246:F261" si="56">ROUND(D246*(1-E246),2)</f>
        <v>23671.51</v>
      </c>
      <c r="G246" s="173"/>
      <c r="H246" s="148">
        <f t="shared" ref="H246:H261" si="57">ROUND(D246*(1-J246),0)</f>
        <v>30566</v>
      </c>
      <c r="I246" s="10"/>
      <c r="J246" s="38">
        <v>0.1</v>
      </c>
    </row>
    <row r="247" spans="1:10" ht="15" x14ac:dyDescent="0.2">
      <c r="A247" s="9" t="s">
        <v>413</v>
      </c>
      <c r="B247" s="86" t="s">
        <v>414</v>
      </c>
      <c r="C247" s="82" t="s">
        <v>415</v>
      </c>
      <c r="D247" s="148">
        <v>29330</v>
      </c>
      <c r="E247" s="48">
        <v>0.30299999999999999</v>
      </c>
      <c r="F247" s="153">
        <f t="shared" si="56"/>
        <v>20443.009999999998</v>
      </c>
      <c r="G247" s="173"/>
      <c r="H247" s="148">
        <f t="shared" si="57"/>
        <v>26397</v>
      </c>
      <c r="I247" s="10"/>
      <c r="J247" s="38">
        <v>0.1</v>
      </c>
    </row>
    <row r="248" spans="1:10" ht="15" x14ac:dyDescent="0.2">
      <c r="A248" s="9" t="s">
        <v>416</v>
      </c>
      <c r="B248" s="86" t="s">
        <v>414</v>
      </c>
      <c r="C248" s="82" t="s">
        <v>417</v>
      </c>
      <c r="D248" s="148">
        <v>29855</v>
      </c>
      <c r="E248" s="48">
        <v>0.30299999999999999</v>
      </c>
      <c r="F248" s="153">
        <f t="shared" si="56"/>
        <v>20808.939999999999</v>
      </c>
      <c r="G248" s="173"/>
      <c r="H248" s="148">
        <f t="shared" si="57"/>
        <v>26870</v>
      </c>
      <c r="I248" s="10"/>
      <c r="J248" s="38">
        <v>0.1</v>
      </c>
    </row>
    <row r="249" spans="1:10" ht="15" x14ac:dyDescent="0.2">
      <c r="A249" s="9" t="s">
        <v>418</v>
      </c>
      <c r="B249" s="86" t="s">
        <v>414</v>
      </c>
      <c r="C249" s="82" t="s">
        <v>419</v>
      </c>
      <c r="D249" s="148">
        <v>31834</v>
      </c>
      <c r="E249" s="48">
        <v>0.30299999999999999</v>
      </c>
      <c r="F249" s="153">
        <f t="shared" si="56"/>
        <v>22188.3</v>
      </c>
      <c r="G249" s="173"/>
      <c r="H249" s="148">
        <f t="shared" si="57"/>
        <v>28651</v>
      </c>
      <c r="I249" s="10"/>
      <c r="J249" s="38">
        <v>0.1</v>
      </c>
    </row>
    <row r="250" spans="1:10" ht="15" x14ac:dyDescent="0.2">
      <c r="A250" s="9" t="s">
        <v>420</v>
      </c>
      <c r="B250" s="86" t="s">
        <v>421</v>
      </c>
      <c r="C250" s="82" t="s">
        <v>408</v>
      </c>
      <c r="D250" s="148">
        <v>31190</v>
      </c>
      <c r="E250" s="48">
        <v>0.30299999999999999</v>
      </c>
      <c r="F250" s="153">
        <f t="shared" si="56"/>
        <v>21739.43</v>
      </c>
      <c r="G250" s="173"/>
      <c r="H250" s="148">
        <f t="shared" si="57"/>
        <v>28071</v>
      </c>
      <c r="I250" s="10"/>
      <c r="J250" s="38">
        <v>0.1</v>
      </c>
    </row>
    <row r="251" spans="1:10" ht="15" x14ac:dyDescent="0.2">
      <c r="A251" s="9" t="s">
        <v>422</v>
      </c>
      <c r="B251" s="86" t="s">
        <v>421</v>
      </c>
      <c r="C251" s="82" t="s">
        <v>410</v>
      </c>
      <c r="D251" s="148">
        <v>32092</v>
      </c>
      <c r="E251" s="48">
        <v>0.30299999999999999</v>
      </c>
      <c r="F251" s="153">
        <f t="shared" si="56"/>
        <v>22368.12</v>
      </c>
      <c r="G251" s="173"/>
      <c r="H251" s="148">
        <f t="shared" si="57"/>
        <v>28883</v>
      </c>
      <c r="I251" s="10"/>
      <c r="J251" s="38">
        <v>0.1</v>
      </c>
    </row>
    <row r="252" spans="1:10" ht="15" x14ac:dyDescent="0.2">
      <c r="A252" s="9" t="s">
        <v>423</v>
      </c>
      <c r="B252" s="86" t="s">
        <v>421</v>
      </c>
      <c r="C252" s="82" t="s">
        <v>412</v>
      </c>
      <c r="D252" s="148">
        <v>33677</v>
      </c>
      <c r="E252" s="48">
        <v>0.30299999999999999</v>
      </c>
      <c r="F252" s="153">
        <f t="shared" si="56"/>
        <v>23472.87</v>
      </c>
      <c r="G252" s="173"/>
      <c r="H252" s="148">
        <f t="shared" si="57"/>
        <v>30309</v>
      </c>
      <c r="I252" s="10"/>
      <c r="J252" s="38">
        <v>0.1</v>
      </c>
    </row>
    <row r="253" spans="1:10" ht="15" x14ac:dyDescent="0.2">
      <c r="A253" s="9" t="s">
        <v>424</v>
      </c>
      <c r="B253" s="86" t="s">
        <v>425</v>
      </c>
      <c r="C253" s="82" t="s">
        <v>415</v>
      </c>
      <c r="D253" s="148">
        <v>29079</v>
      </c>
      <c r="E253" s="48">
        <v>0.30299999999999999</v>
      </c>
      <c r="F253" s="153">
        <f t="shared" si="56"/>
        <v>20268.060000000001</v>
      </c>
      <c r="G253" s="173"/>
      <c r="H253" s="148">
        <f t="shared" si="57"/>
        <v>26171</v>
      </c>
      <c r="I253" s="10"/>
      <c r="J253" s="38">
        <v>0.1</v>
      </c>
    </row>
    <row r="254" spans="1:10" ht="15" x14ac:dyDescent="0.2">
      <c r="A254" s="9" t="s">
        <v>426</v>
      </c>
      <c r="B254" s="86" t="s">
        <v>425</v>
      </c>
      <c r="C254" s="82" t="s">
        <v>417</v>
      </c>
      <c r="D254" s="148">
        <v>29605</v>
      </c>
      <c r="E254" s="48">
        <v>0.30299999999999999</v>
      </c>
      <c r="F254" s="153">
        <f t="shared" si="56"/>
        <v>20634.689999999999</v>
      </c>
      <c r="G254" s="173"/>
      <c r="H254" s="148">
        <f t="shared" si="57"/>
        <v>26645</v>
      </c>
      <c r="I254" s="10"/>
      <c r="J254" s="38">
        <v>0.1</v>
      </c>
    </row>
    <row r="255" spans="1:10" ht="15" x14ac:dyDescent="0.2">
      <c r="A255" s="9" t="s">
        <v>427</v>
      </c>
      <c r="B255" s="86" t="s">
        <v>425</v>
      </c>
      <c r="C255" s="82" t="s">
        <v>419</v>
      </c>
      <c r="D255" s="148">
        <v>31565</v>
      </c>
      <c r="E255" s="48">
        <v>0.30299999999999999</v>
      </c>
      <c r="F255" s="153">
        <f t="shared" si="56"/>
        <v>22000.81</v>
      </c>
      <c r="G255" s="173"/>
      <c r="H255" s="148">
        <f t="shared" si="57"/>
        <v>28409</v>
      </c>
      <c r="I255" s="10"/>
      <c r="J255" s="38">
        <v>0.1</v>
      </c>
    </row>
    <row r="256" spans="1:10" ht="15" x14ac:dyDescent="0.2">
      <c r="A256" s="9" t="s">
        <v>428</v>
      </c>
      <c r="B256" s="86" t="s">
        <v>429</v>
      </c>
      <c r="C256" s="82" t="s">
        <v>408</v>
      </c>
      <c r="D256" s="148">
        <v>35577</v>
      </c>
      <c r="E256" s="48">
        <v>0.30299999999999999</v>
      </c>
      <c r="F256" s="153">
        <f t="shared" si="56"/>
        <v>24797.17</v>
      </c>
      <c r="G256" s="173"/>
      <c r="H256" s="148">
        <f t="shared" si="57"/>
        <v>32019</v>
      </c>
      <c r="I256" s="10"/>
      <c r="J256" s="38">
        <v>0.1</v>
      </c>
    </row>
    <row r="257" spans="1:10" ht="15" x14ac:dyDescent="0.2">
      <c r="A257" s="9" t="s">
        <v>430</v>
      </c>
      <c r="B257" s="86" t="s">
        <v>429</v>
      </c>
      <c r="C257" s="82" t="s">
        <v>410</v>
      </c>
      <c r="D257" s="148">
        <v>36116</v>
      </c>
      <c r="E257" s="48">
        <v>0.30299999999999999</v>
      </c>
      <c r="F257" s="153">
        <f t="shared" si="56"/>
        <v>25172.85</v>
      </c>
      <c r="G257" s="173"/>
      <c r="H257" s="148">
        <f t="shared" si="57"/>
        <v>32504</v>
      </c>
      <c r="I257" s="10"/>
      <c r="J257" s="38">
        <v>0.1</v>
      </c>
    </row>
    <row r="258" spans="1:10" ht="15" x14ac:dyDescent="0.2">
      <c r="A258" s="9" t="s">
        <v>431</v>
      </c>
      <c r="B258" s="86" t="s">
        <v>429</v>
      </c>
      <c r="C258" s="82" t="s">
        <v>412</v>
      </c>
      <c r="D258" s="148">
        <v>38156</v>
      </c>
      <c r="E258" s="48">
        <v>0.30299999999999999</v>
      </c>
      <c r="F258" s="153">
        <f t="shared" si="56"/>
        <v>26594.73</v>
      </c>
      <c r="G258" s="173"/>
      <c r="H258" s="148">
        <f t="shared" si="57"/>
        <v>34340</v>
      </c>
      <c r="I258" s="10"/>
      <c r="J258" s="38">
        <v>0.1</v>
      </c>
    </row>
    <row r="259" spans="1:10" ht="15" x14ac:dyDescent="0.2">
      <c r="A259" s="9" t="s">
        <v>432</v>
      </c>
      <c r="B259" s="86" t="s">
        <v>433</v>
      </c>
      <c r="C259" s="82" t="s">
        <v>415</v>
      </c>
      <c r="D259" s="148">
        <v>33387</v>
      </c>
      <c r="E259" s="48">
        <v>0.30299999999999999</v>
      </c>
      <c r="F259" s="153">
        <f t="shared" si="56"/>
        <v>23270.74</v>
      </c>
      <c r="G259" s="173"/>
      <c r="H259" s="148">
        <f t="shared" si="57"/>
        <v>30048</v>
      </c>
      <c r="I259" s="10"/>
      <c r="J259" s="38">
        <v>0.1</v>
      </c>
    </row>
    <row r="260" spans="1:10" ht="15" x14ac:dyDescent="0.2">
      <c r="A260" s="9" t="s">
        <v>434</v>
      </c>
      <c r="B260" s="86" t="s">
        <v>433</v>
      </c>
      <c r="C260" s="82" t="s">
        <v>417</v>
      </c>
      <c r="D260" s="148">
        <v>33928</v>
      </c>
      <c r="E260" s="48">
        <v>0.30299999999999999</v>
      </c>
      <c r="F260" s="153">
        <f t="shared" si="56"/>
        <v>23647.82</v>
      </c>
      <c r="G260" s="173"/>
      <c r="H260" s="148">
        <f t="shared" si="57"/>
        <v>30535</v>
      </c>
      <c r="I260" s="10"/>
      <c r="J260" s="38">
        <v>0.1</v>
      </c>
    </row>
    <row r="261" spans="1:10" ht="15" x14ac:dyDescent="0.2">
      <c r="A261" s="22" t="s">
        <v>435</v>
      </c>
      <c r="B261" s="87" t="s">
        <v>433</v>
      </c>
      <c r="C261" s="84" t="s">
        <v>419</v>
      </c>
      <c r="D261" s="149">
        <v>35964</v>
      </c>
      <c r="E261" s="57">
        <v>0.30299999999999999</v>
      </c>
      <c r="F261" s="154">
        <f t="shared" si="56"/>
        <v>25066.91</v>
      </c>
      <c r="G261" s="173"/>
      <c r="H261" s="149">
        <f t="shared" si="57"/>
        <v>32368</v>
      </c>
      <c r="I261" s="10"/>
      <c r="J261" s="26">
        <v>0.1</v>
      </c>
    </row>
    <row r="262" spans="1:10" ht="15" customHeight="1" x14ac:dyDescent="0.2">
      <c r="A262" s="13"/>
      <c r="B262" s="86"/>
      <c r="C262" s="91"/>
      <c r="D262" s="152" t="s">
        <v>30</v>
      </c>
      <c r="E262" s="49" t="s">
        <v>30</v>
      </c>
      <c r="F262" s="178"/>
      <c r="G262" s="37"/>
      <c r="H262" s="152"/>
      <c r="I262" s="10"/>
      <c r="J262" s="123"/>
    </row>
    <row r="263" spans="1:10" ht="15" customHeight="1" thickBot="1" x14ac:dyDescent="0.25">
      <c r="A263" s="25" t="s">
        <v>309</v>
      </c>
      <c r="B263" s="134"/>
      <c r="C263" s="94"/>
      <c r="D263" s="177" t="s">
        <v>30</v>
      </c>
      <c r="E263" s="59" t="s">
        <v>30</v>
      </c>
      <c r="F263" s="176"/>
      <c r="G263" s="174"/>
      <c r="H263" s="177"/>
      <c r="I263" s="21"/>
      <c r="J263" s="124"/>
    </row>
    <row r="264" spans="1:10" ht="15" customHeight="1" thickTop="1" x14ac:dyDescent="0.2">
      <c r="A264" s="36" t="s">
        <v>310</v>
      </c>
      <c r="B264" s="125" t="s">
        <v>311</v>
      </c>
      <c r="C264" s="126"/>
      <c r="D264" s="183">
        <v>152.44</v>
      </c>
      <c r="E264" s="60">
        <v>0.503</v>
      </c>
      <c r="F264" s="154">
        <f t="shared" ref="F264" si="58">ROUND(D264*(1-E264),2)</f>
        <v>75.760000000000005</v>
      </c>
      <c r="G264" s="173"/>
      <c r="H264" s="149">
        <f t="shared" ref="H264" si="59">ROUND(D264*(1-J264),0)</f>
        <v>137</v>
      </c>
      <c r="I264" s="10"/>
      <c r="J264" s="26">
        <v>0.1</v>
      </c>
    </row>
    <row r="265" spans="1:10" ht="15" customHeight="1" x14ac:dyDescent="0.2">
      <c r="A265" s="13"/>
      <c r="B265" s="86"/>
      <c r="C265" s="91"/>
      <c r="D265" s="189" t="s">
        <v>30</v>
      </c>
      <c r="E265" s="53" t="s">
        <v>30</v>
      </c>
      <c r="F265" s="178"/>
      <c r="G265" s="37"/>
      <c r="H265" s="152"/>
      <c r="I265" s="10"/>
      <c r="J265" s="10"/>
    </row>
    <row r="266" spans="1:10" ht="15" customHeight="1" x14ac:dyDescent="0.2">
      <c r="A266" s="15" t="s">
        <v>312</v>
      </c>
      <c r="B266" s="144"/>
      <c r="C266" s="65"/>
      <c r="D266" s="189" t="s">
        <v>30</v>
      </c>
      <c r="E266" s="61" t="s">
        <v>30</v>
      </c>
      <c r="F266" s="178"/>
      <c r="G266" s="37"/>
      <c r="H266" s="152"/>
      <c r="I266" s="10"/>
      <c r="J266" s="10"/>
    </row>
    <row r="267" spans="1:10" ht="15" customHeight="1" x14ac:dyDescent="0.2">
      <c r="A267" s="28" t="s">
        <v>313</v>
      </c>
      <c r="B267" s="89" t="s">
        <v>314</v>
      </c>
      <c r="C267" s="95"/>
      <c r="D267" s="190">
        <v>177.43</v>
      </c>
      <c r="E267" s="56">
        <v>0.35299999999999998</v>
      </c>
      <c r="F267" s="155">
        <f t="shared" ref="F267:F268" si="60">ROUND(D267*(1-E267),2)</f>
        <v>114.8</v>
      </c>
      <c r="G267" s="173"/>
      <c r="H267" s="150">
        <f t="shared" ref="H267:H268" si="61">ROUND(D267*(1-J267),0)</f>
        <v>160</v>
      </c>
      <c r="I267" s="10"/>
      <c r="J267" s="11">
        <v>0.1</v>
      </c>
    </row>
    <row r="268" spans="1:10" ht="15" customHeight="1" x14ac:dyDescent="0.2">
      <c r="A268" s="22" t="s">
        <v>315</v>
      </c>
      <c r="B268" s="87" t="s">
        <v>316</v>
      </c>
      <c r="C268" s="97"/>
      <c r="D268" s="183">
        <v>102.46</v>
      </c>
      <c r="E268" s="57">
        <v>0.35299999999999998</v>
      </c>
      <c r="F268" s="154">
        <f t="shared" si="60"/>
        <v>66.290000000000006</v>
      </c>
      <c r="G268" s="173"/>
      <c r="H268" s="149">
        <f t="shared" si="61"/>
        <v>92</v>
      </c>
      <c r="I268" s="10"/>
      <c r="J268" s="26">
        <v>0.1</v>
      </c>
    </row>
    <row r="269" spans="1:10" ht="15" customHeight="1" x14ac:dyDescent="0.2">
      <c r="A269" s="13"/>
      <c r="B269" s="86"/>
      <c r="C269" s="91"/>
      <c r="D269" s="189" t="s">
        <v>30</v>
      </c>
      <c r="E269" s="53" t="s">
        <v>30</v>
      </c>
      <c r="F269" s="178"/>
      <c r="G269" s="37"/>
      <c r="H269" s="152"/>
      <c r="I269" s="10"/>
      <c r="J269" s="10"/>
    </row>
    <row r="270" spans="1:10" ht="15" customHeight="1" x14ac:dyDescent="0.2">
      <c r="A270" s="15" t="s">
        <v>317</v>
      </c>
      <c r="B270" s="144"/>
      <c r="C270" s="127"/>
      <c r="D270" s="189" t="s">
        <v>30</v>
      </c>
      <c r="E270" s="62" t="s">
        <v>30</v>
      </c>
      <c r="F270" s="185"/>
      <c r="G270" s="37"/>
      <c r="H270" s="152"/>
      <c r="I270" s="10"/>
      <c r="J270" s="10"/>
    </row>
    <row r="271" spans="1:10" ht="15" customHeight="1" x14ac:dyDescent="0.2">
      <c r="A271" s="28" t="s">
        <v>318</v>
      </c>
      <c r="B271" s="89" t="s">
        <v>319</v>
      </c>
      <c r="C271" s="95"/>
      <c r="D271" s="190">
        <v>81.22</v>
      </c>
      <c r="E271" s="56">
        <v>0.503</v>
      </c>
      <c r="F271" s="155">
        <f t="shared" ref="F271:F273" si="62">ROUND(D271*(1-E271),2)</f>
        <v>40.369999999999997</v>
      </c>
      <c r="G271" s="173"/>
      <c r="H271" s="150">
        <f t="shared" ref="H271:H273" si="63">ROUND(D271*(1-J271),0)</f>
        <v>73</v>
      </c>
      <c r="I271" s="10"/>
      <c r="J271" s="11">
        <v>0.1</v>
      </c>
    </row>
    <row r="272" spans="1:10" ht="15" customHeight="1" x14ac:dyDescent="0.2">
      <c r="A272" s="9" t="s">
        <v>345</v>
      </c>
      <c r="B272" s="86" t="s">
        <v>320</v>
      </c>
      <c r="C272" s="96"/>
      <c r="D272" s="152">
        <v>224.91</v>
      </c>
      <c r="E272" s="48">
        <v>0.503</v>
      </c>
      <c r="F272" s="153">
        <f t="shared" si="62"/>
        <v>111.78</v>
      </c>
      <c r="G272" s="173"/>
      <c r="H272" s="148">
        <f t="shared" si="63"/>
        <v>202</v>
      </c>
      <c r="I272" s="10"/>
      <c r="J272" s="38">
        <v>0.1</v>
      </c>
    </row>
    <row r="273" spans="1:10" ht="15" customHeight="1" x14ac:dyDescent="0.2">
      <c r="A273" s="22" t="s">
        <v>346</v>
      </c>
      <c r="B273" s="87" t="s">
        <v>321</v>
      </c>
      <c r="C273" s="97"/>
      <c r="D273" s="183">
        <v>238.65</v>
      </c>
      <c r="E273" s="57">
        <v>0.503</v>
      </c>
      <c r="F273" s="154">
        <f t="shared" si="62"/>
        <v>118.61</v>
      </c>
      <c r="G273" s="173"/>
      <c r="H273" s="149">
        <f t="shared" si="63"/>
        <v>215</v>
      </c>
      <c r="I273" s="10"/>
      <c r="J273" s="26">
        <v>0.1</v>
      </c>
    </row>
    <row r="274" spans="1:10" ht="15" customHeight="1" x14ac:dyDescent="0.2">
      <c r="A274" s="13"/>
      <c r="B274" s="86"/>
      <c r="C274" s="91"/>
      <c r="D274" s="189" t="s">
        <v>30</v>
      </c>
      <c r="E274" s="53" t="s">
        <v>30</v>
      </c>
      <c r="F274" s="178"/>
      <c r="G274" s="37"/>
      <c r="H274" s="152"/>
      <c r="I274" s="10"/>
      <c r="J274" s="10"/>
    </row>
    <row r="275" spans="1:10" ht="15" customHeight="1" x14ac:dyDescent="0.2">
      <c r="A275" s="15" t="s">
        <v>322</v>
      </c>
      <c r="B275" s="144"/>
      <c r="C275" s="127"/>
      <c r="D275" s="189" t="s">
        <v>30</v>
      </c>
      <c r="E275" s="62" t="s">
        <v>30</v>
      </c>
      <c r="F275" s="186"/>
      <c r="G275" s="37"/>
      <c r="H275" s="152"/>
      <c r="I275" s="10"/>
      <c r="J275" s="10"/>
    </row>
    <row r="276" spans="1:10" ht="15" customHeight="1" x14ac:dyDescent="0.2">
      <c r="A276" s="22" t="s">
        <v>347</v>
      </c>
      <c r="B276" s="87" t="s">
        <v>323</v>
      </c>
      <c r="C276" s="97"/>
      <c r="D276" s="191">
        <v>74.97</v>
      </c>
      <c r="E276" s="57">
        <v>0.503</v>
      </c>
      <c r="F276" s="154">
        <f t="shared" ref="F276" si="64">ROUND(D276*(1-E276),2)</f>
        <v>37.26</v>
      </c>
      <c r="G276" s="173"/>
      <c r="H276" s="151">
        <f t="shared" ref="H276" si="65">ROUND(D276*(1-J276),0)</f>
        <v>67</v>
      </c>
      <c r="I276" s="10"/>
      <c r="J276" s="19">
        <v>0.1</v>
      </c>
    </row>
    <row r="277" spans="1:10" ht="15" customHeight="1" x14ac:dyDescent="0.2"/>
    <row r="278" spans="1:10" ht="15" customHeight="1" x14ac:dyDescent="0.2"/>
    <row r="279" spans="1:10" ht="15" customHeight="1" x14ac:dyDescent="0.2"/>
    <row r="280" spans="1:10" ht="15" customHeight="1" x14ac:dyDescent="0.2"/>
    <row r="281" spans="1:10" ht="15" customHeight="1" x14ac:dyDescent="0.2"/>
    <row r="282" spans="1:10" ht="15" customHeight="1" x14ac:dyDescent="0.2"/>
    <row r="283" spans="1:10" ht="15" customHeight="1" x14ac:dyDescent="0.2"/>
    <row r="284" spans="1:10" ht="15" customHeight="1" x14ac:dyDescent="0.2"/>
    <row r="285" spans="1:10" ht="15" customHeight="1" x14ac:dyDescent="0.2"/>
    <row r="286" spans="1:10" ht="15" customHeight="1" x14ac:dyDescent="0.2"/>
    <row r="287" spans="1:10" ht="15" customHeight="1" x14ac:dyDescent="0.2"/>
    <row r="288" spans="1:10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</sheetData>
  <mergeCells count="3">
    <mergeCell ref="A1:H1"/>
    <mergeCell ref="A2:H2"/>
    <mergeCell ref="A3:H3"/>
  </mergeCells>
  <conditionalFormatting sqref="A9:C45">
    <cfRule type="containsErrors" dxfId="34" priority="160">
      <formula>ISERROR(A9)</formula>
    </cfRule>
  </conditionalFormatting>
  <conditionalFormatting sqref="A9:C56 E40:E45 I40:J45">
    <cfRule type="cellIs" dxfId="33" priority="159" operator="equal">
      <formula>#N/A</formula>
    </cfRule>
  </conditionalFormatting>
  <conditionalFormatting sqref="A9:C58">
    <cfRule type="cellIs" priority="161" operator="between">
      <formula>$D$179</formula>
      <formula>0</formula>
    </cfRule>
  </conditionalFormatting>
  <conditionalFormatting sqref="A46:C93">
    <cfRule type="containsErrors" dxfId="32" priority="214">
      <formula>ISERROR(A46)</formula>
    </cfRule>
  </conditionalFormatting>
  <conditionalFormatting sqref="A59:C59">
    <cfRule type="cellIs" priority="215" operator="between">
      <formula>$D$178</formula>
      <formula>0</formula>
    </cfRule>
  </conditionalFormatting>
  <conditionalFormatting sqref="A94:C111">
    <cfRule type="containsErrors" dxfId="31" priority="156">
      <formula>ISERROR(A94)</formula>
    </cfRule>
  </conditionalFormatting>
  <conditionalFormatting sqref="A113:C242">
    <cfRule type="containsErrors" dxfId="30" priority="1">
      <formula>ISERROR(A113)</formula>
    </cfRule>
  </conditionalFormatting>
  <conditionalFormatting sqref="A124:C124 E124 I124:XFD124">
    <cfRule type="cellIs" priority="19" operator="between">
      <formula>#REF!</formula>
      <formula>0</formula>
    </cfRule>
  </conditionalFormatting>
  <conditionalFormatting sqref="A132:C132 E132 I132:XFD132">
    <cfRule type="cellIs" priority="16" operator="between">
      <formula>#REF!</formula>
      <formula>0</formula>
    </cfRule>
  </conditionalFormatting>
  <conditionalFormatting sqref="A135:C135">
    <cfRule type="cellIs" priority="10" operator="between">
      <formula>#REF!</formula>
      <formula>0</formula>
    </cfRule>
  </conditionalFormatting>
  <conditionalFormatting sqref="A186:C186 E186">
    <cfRule type="cellIs" priority="154" operator="between">
      <formula>#REF!</formula>
      <formula>0</formula>
    </cfRule>
  </conditionalFormatting>
  <conditionalFormatting sqref="A210:C210">
    <cfRule type="cellIs" priority="2" operator="between">
      <formula>#REF!</formula>
      <formula>0</formula>
    </cfRule>
  </conditionalFormatting>
  <conditionalFormatting sqref="A244:C261 E244:E261 I244:J261">
    <cfRule type="cellIs" priority="151" operator="between">
      <formula>$D$149</formula>
      <formula>0</formula>
    </cfRule>
  </conditionalFormatting>
  <conditionalFormatting sqref="A1:J8">
    <cfRule type="cellIs" priority="63" operator="between">
      <formula>$D$179</formula>
      <formula>0</formula>
    </cfRule>
    <cfRule type="containsErrors" dxfId="29" priority="62">
      <formula>ISERROR(A1)</formula>
    </cfRule>
    <cfRule type="cellIs" dxfId="28" priority="61" operator="equal">
      <formula>#N/A</formula>
    </cfRule>
  </conditionalFormatting>
  <conditionalFormatting sqref="A112:J112">
    <cfRule type="containsErrors" dxfId="27" priority="163">
      <formula>ISERROR(A112)</formula>
    </cfRule>
  </conditionalFormatting>
  <conditionalFormatting sqref="A243:J243">
    <cfRule type="cellIs" priority="149" operator="between">
      <formula>$D$149</formula>
      <formula>0</formula>
    </cfRule>
  </conditionalFormatting>
  <conditionalFormatting sqref="A243:J276">
    <cfRule type="containsErrors" dxfId="26" priority="20">
      <formula>ISERROR(A243)</formula>
    </cfRule>
  </conditionalFormatting>
  <conditionalFormatting sqref="C59">
    <cfRule type="cellIs" dxfId="25" priority="213" operator="equal">
      <formula>#N/A</formula>
    </cfRule>
  </conditionalFormatting>
  <conditionalFormatting sqref="D9:D19 D22:D23 D35:D37">
    <cfRule type="containsErrors" dxfId="24" priority="60">
      <formula>ISERROR(D9)</formula>
    </cfRule>
  </conditionalFormatting>
  <conditionalFormatting sqref="D26:D28">
    <cfRule type="containsErrors" dxfId="23" priority="59">
      <formula>ISERROR(D26)</formula>
    </cfRule>
  </conditionalFormatting>
  <conditionalFormatting sqref="D31">
    <cfRule type="containsErrors" dxfId="22" priority="58">
      <formula>ISERROR(D31)</formula>
    </cfRule>
  </conditionalFormatting>
  <conditionalFormatting sqref="D40:D45">
    <cfRule type="containsErrors" dxfId="21" priority="25">
      <formula>ISERROR(D40)</formula>
    </cfRule>
  </conditionalFormatting>
  <conditionalFormatting sqref="D48:D51">
    <cfRule type="containsErrors" dxfId="20" priority="56">
      <formula>ISERROR(D48)</formula>
    </cfRule>
  </conditionalFormatting>
  <conditionalFormatting sqref="D54:D55">
    <cfRule type="containsErrors" dxfId="19" priority="55">
      <formula>ISERROR(D54)</formula>
    </cfRule>
  </conditionalFormatting>
  <conditionalFormatting sqref="D113:D139 E124:XFD135">
    <cfRule type="containsErrors" dxfId="18" priority="11">
      <formula>ISERROR(D113)</formula>
    </cfRule>
  </conditionalFormatting>
  <conditionalFormatting sqref="D179:D199">
    <cfRule type="containsErrors" dxfId="17" priority="23">
      <formula>ISERROR(D179)</formula>
    </cfRule>
  </conditionalFormatting>
  <conditionalFormatting sqref="D58:J111">
    <cfRule type="containsErrors" dxfId="16" priority="24">
      <formula>ISERROR(D58)</formula>
    </cfRule>
  </conditionalFormatting>
  <conditionalFormatting sqref="D94:J94 A94:C97 E95:E97 I95:J97 I186:XFD186">
    <cfRule type="cellIs" priority="157" operator="between">
      <formula>#REF!</formula>
      <formula>0</formula>
    </cfRule>
  </conditionalFormatting>
  <conditionalFormatting sqref="D140:J178">
    <cfRule type="containsErrors" dxfId="15" priority="40">
      <formula>ISERROR(D140)</formula>
    </cfRule>
  </conditionalFormatting>
  <conditionalFormatting sqref="D200:J242">
    <cfRule type="containsErrors" dxfId="14" priority="3">
      <formula>ISERROR(D200)</formula>
    </cfRule>
  </conditionalFormatting>
  <conditionalFormatting sqref="E9:E19 I9:J19 D20:J21 E22:E23 I22:J23 D24:J25 E26:E28 I26:J28 D29:J30 E31 I31:J31 D32:J34 E35:E37 I35:J37 D38:J39 D46:J47 E48:E51 I48:J51 D52:J53 E54:E55 I54:J55 D56:J56">
    <cfRule type="cellIs" dxfId="13" priority="218" operator="equal">
      <formula>#N/A</formula>
    </cfRule>
  </conditionalFormatting>
  <conditionalFormatting sqref="E9:E19 I9:J19 D20:J21 E22:E23 I22:J23 D24:J25 E26:E28 I26:J28 D29:J30 E31 I31:J31 D32:J34 E35:E37 I35:J37 D38:J39 D46:J47 E48:E51 I48:J51 D52:J53 E54:E55 I54:J55 D56:J57 E40:E45 I40:J45 K136:K178 L136:XFD185 L187:XFD209 K200:K209 K262:K276 L262:XFD277 A277:K277 A278:XFD1048576">
    <cfRule type="containsErrors" dxfId="12" priority="219">
      <formula>ISERROR(A9)</formula>
    </cfRule>
  </conditionalFormatting>
  <conditionalFormatting sqref="E59 I59:J59">
    <cfRule type="cellIs" priority="217" operator="between">
      <formula>$D$178</formula>
      <formula>0</formula>
    </cfRule>
  </conditionalFormatting>
  <conditionalFormatting sqref="E135 I135:XFD135">
    <cfRule type="cellIs" priority="13" operator="between">
      <formula>#REF!</formula>
      <formula>0</formula>
    </cfRule>
  </conditionalFormatting>
  <conditionalFormatting sqref="E210 I210:XFD210">
    <cfRule type="cellIs" priority="6" operator="between">
      <formula>#REF!</formula>
      <formula>0</formula>
    </cfRule>
  </conditionalFormatting>
  <conditionalFormatting sqref="E113:J123">
    <cfRule type="containsErrors" dxfId="11" priority="164">
      <formula>ISERROR(E113)</formula>
    </cfRule>
  </conditionalFormatting>
  <conditionalFormatting sqref="E136:J139">
    <cfRule type="containsErrors" dxfId="10" priority="186">
      <formula>ISERROR(E136)</formula>
    </cfRule>
  </conditionalFormatting>
  <conditionalFormatting sqref="E179:K185">
    <cfRule type="containsErrors" dxfId="9" priority="180">
      <formula>ISERROR(E179)</formula>
    </cfRule>
  </conditionalFormatting>
  <conditionalFormatting sqref="E187:K199">
    <cfRule type="containsErrors" dxfId="8" priority="179">
      <formula>ISERROR(E187)</formula>
    </cfRule>
  </conditionalFormatting>
  <conditionalFormatting sqref="E186:XFD186">
    <cfRule type="containsErrors" dxfId="7" priority="152">
      <formula>ISERROR(E186)</formula>
    </cfRule>
  </conditionalFormatting>
  <conditionalFormatting sqref="F26:H28">
    <cfRule type="containsErrors" dxfId="6" priority="207">
      <formula>ISERROR(F26)</formula>
    </cfRule>
  </conditionalFormatting>
  <conditionalFormatting sqref="F31:H31">
    <cfRule type="containsErrors" dxfId="5" priority="206">
      <formula>ISERROR(F31)</formula>
    </cfRule>
  </conditionalFormatting>
  <conditionalFormatting sqref="F40:H45">
    <cfRule type="containsErrors" dxfId="4" priority="158">
      <formula>ISERROR(F40)</formula>
    </cfRule>
  </conditionalFormatting>
  <conditionalFormatting sqref="F48:H51">
    <cfRule type="containsErrors" dxfId="3" priority="203">
      <formula>ISERROR(F48)</formula>
    </cfRule>
  </conditionalFormatting>
  <conditionalFormatting sqref="F54:H55">
    <cfRule type="containsErrors" dxfId="2" priority="202">
      <formula>ISERROR(F54)</formula>
    </cfRule>
  </conditionalFormatting>
  <conditionalFormatting sqref="K1:XFD107 E9:E19 I9:J19 D20:J21 E22:E23 I22:J23 D24:J25 E26:E28 I26:J28 D29:J30 E31 I31:J31 D32:J34 E35:E37 I35:J37 D38:J39 E40:E45 I40:J45 D46:J47 E48:E51 I48:J51 D52:J53 E54:E55 I54:J55 D56:J57 E58 I58:J58 D60:J61 A60:C93 E62:E66 I62:J66 D67:J69 E70:E71 I70:J71 D72:J73 E74 I74:J74 D75:J76 E77 I77:J77 D78:J79 E80:E81 I80:J81 D82:J84 E85:E86 I85:J86 D87:J88 E89:E93 I89:J93 D98:J99 A98:C111 E100:E105 I100:J105 D106:J108 K109:XFD109 E109:E111 I109:J111 J112 A113:C113 E113 I113:J113 K114:XFD123 E115 E117:E123 A118:C123 I118:J123 A125:C131 E125:E131 I125:XFD131 A133:C134 E133:E134 I133:XFD134 E136:E139 I136:J139 K136:K178 A136:C185 L136:XFD185 D140:J141 E142:E168 I142:J168 D169:J170 E171:E176 I171:J176 D177:J178 E179:E185 I179:K185 E187:E199 I187:K199 A187:C209 L187:XFD209 D200:J201 K200:K209 E202:E205 I202:J205 D206:J207 E208:E209 I208:J209 D211:J212 A211:C242 K211:XFD242 E213:E214 I213:J214 D215:J216 E217:E219 I217:J219 D220:J221 E222:E225 I222:J225 D226:J227 E228:E241 I228:J241 D242:J242 D262:J263 A262:C276 K262:K276 L262:XFD277 E264 I264:J264 E265:J266 E267:E268 I267:J268 E269:J270 E271:E273 I271:J273 E274:J275 E276 I276:J276 A277:K277 A278:XFD1048576">
    <cfRule type="cellIs" priority="220" operator="between">
      <formula>$D$179</formula>
      <formula>0</formula>
    </cfRule>
  </conditionalFormatting>
  <conditionalFormatting sqref="K1:XFD123 F9:H19 F22:H23 F35:H37">
    <cfRule type="containsErrors" dxfId="1" priority="209">
      <formula>ISERROR(F1)</formula>
    </cfRule>
  </conditionalFormatting>
  <conditionalFormatting sqref="K210:XFD242">
    <cfRule type="containsErrors" dxfId="0" priority="7">
      <formula>ISERROR(K210)</formula>
    </cfRule>
  </conditionalFormatting>
  <printOptions horizontalCentered="1"/>
  <pageMargins left="0.25" right="0.25" top="0.5" bottom="0.5" header="0.3" footer="0.3"/>
  <pageSetup scale="62" fitToHeight="0" orientation="portrait" r:id="rId1"/>
  <headerFooter>
    <oddFooter>Page &amp;P of &amp;N</oddFooter>
  </headerFooter>
  <rowBreaks count="3" manualBreakCount="3">
    <brk id="72" max="7" man="1"/>
    <brk id="140" max="7" man="1"/>
    <brk id="21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Advance Commerical Tier 2</vt:lpstr>
      <vt:lpstr>'Advance Commerical Tier 2'!Print_Area</vt:lpstr>
      <vt:lpstr>'Advance Commerical Tier 2'!Print_Titles</vt:lpstr>
    </vt:vector>
  </TitlesOfParts>
  <Company>Nilfisk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Springer</dc:creator>
  <cp:lastModifiedBy>Sam Janvey</cp:lastModifiedBy>
  <cp:lastPrinted>2022-12-07T22:08:39Z</cp:lastPrinted>
  <dcterms:created xsi:type="dcterms:W3CDTF">2017-10-25T15:49:58Z</dcterms:created>
  <dcterms:modified xsi:type="dcterms:W3CDTF">2023-10-01T18:18:13Z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657d4-2045-4871-9872-e323e3545d60_Enabled">
    <vt:lpwstr>true</vt:lpwstr>
  </property>
  <property fmtid="{D5CDD505-2E9C-101B-9397-08002B2CF9AE}" pid="3" name="MSIP_Label_8af657d4-2045-4871-9872-e323e3545d60_SetDate">
    <vt:lpwstr>2021-10-11T20:33:09Z</vt:lpwstr>
  </property>
  <property fmtid="{D5CDD505-2E9C-101B-9397-08002B2CF9AE}" pid="4" name="MSIP_Label_8af657d4-2045-4871-9872-e323e3545d60_Method">
    <vt:lpwstr>Standard</vt:lpwstr>
  </property>
  <property fmtid="{D5CDD505-2E9C-101B-9397-08002B2CF9AE}" pid="5" name="MSIP_Label_8af657d4-2045-4871-9872-e323e3545d60_Name">
    <vt:lpwstr>Open sublabel</vt:lpwstr>
  </property>
  <property fmtid="{D5CDD505-2E9C-101B-9397-08002B2CF9AE}" pid="6" name="MSIP_Label_8af657d4-2045-4871-9872-e323e3545d60_SiteId">
    <vt:lpwstr>753c5d99-05be-4237-b4c5-fdb2e6b32ab2</vt:lpwstr>
  </property>
  <property fmtid="{D5CDD505-2E9C-101B-9397-08002B2CF9AE}" pid="7" name="MSIP_Label_8af657d4-2045-4871-9872-e323e3545d60_ActionId">
    <vt:lpwstr>5195fa74-7e66-46b5-baea-fdd3e2a9e773</vt:lpwstr>
  </property>
  <property fmtid="{D5CDD505-2E9C-101B-9397-08002B2CF9AE}" pid="8" name="MSIP_Label_8af657d4-2045-4871-9872-e323e3545d60_ContentBits">
    <vt:lpwstr>0</vt:lpwstr>
  </property>
</Properties>
</file>